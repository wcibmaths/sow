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fa3a38a9b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9 Ma1 SoW 2026-27" sheetId="1" r:id="Rbbb2611f51194045"/>
    <x:sheet xmlns:r="http://schemas.openxmlformats.org/officeDocument/2006/relationships" name="Summary and Audit" sheetId="2" r:id="Rcddc84b5ca3e4581"/>
    <x:sheet xmlns:r="http://schemas.openxmlformats.org/officeDocument/2006/relationships" name="Legend and Assessment Plan" sheetId="3" r:id="R270261e0d8e24057"/>
    <x:sheet xmlns:r="http://schemas.openxmlformats.org/officeDocument/2006/relationships" name="Unit Order and Dates" sheetId="4" r:id="R90c9eca3539b4f86"/>
    <x:sheet xmlns:r="http://schemas.openxmlformats.org/officeDocument/2006/relationships" name="KS4 Normal Y10 Source Map" sheetId="5" r:id="Rc162dbdcb699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0"/>
      <x:color rgb="1F4E79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ill>
        <x:patternFill patternType="solid">
          <x:bgColor rgb="FCE4D6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2f431674e4acb" /><Relationship Type="http://schemas.openxmlformats.org/officeDocument/2006/relationships/theme" Target="/xl/theme/theme1.xml" Id="R7e46403cef8e471b" /><Relationship Type="http://schemas.openxmlformats.org/officeDocument/2006/relationships/sharedStrings" Target="/xl/sharedStrings.xml" Id="R256b5af5ee6b4e88" /><Relationship Type="http://schemas.openxmlformats.org/officeDocument/2006/relationships/worksheet" Target="/xl/worksheets/sheet1.xml" Id="Rbbb2611f51194045" /><Relationship Type="http://schemas.openxmlformats.org/officeDocument/2006/relationships/worksheet" Target="/xl/worksheets/sheet2.xml" Id="Rcddc84b5ca3e4581" /><Relationship Type="http://schemas.openxmlformats.org/officeDocument/2006/relationships/worksheet" Target="/xl/worksheets/sheet3.xml" Id="R270261e0d8e24057" /><Relationship Type="http://schemas.openxmlformats.org/officeDocument/2006/relationships/worksheet" Target="/xl/worksheets/sheet4.xml" Id="R90c9eca3539b4f86" /><Relationship Type="http://schemas.openxmlformats.org/officeDocument/2006/relationships/worksheet" Target="/xl/worksheets/sheet5.xml" Id="Rc162dbdcb6994603" /></Relationships>
</file>

<file path=xl/tables/table1.xml><?xml version="1.0" encoding="utf-8"?>
<x:table xmlns:x="http://schemas.openxmlformats.org/spreadsheetml/2006/main" id="1" name="Y9Ma1SoWTable" displayName="Y9Ma1SoWTable" ref="A4:O143" headerRowCount="1">
  <x:tableColumns count="15">
    <x:tableColumn id="1" name="Term"/>
    <x:tableColumn id="2" name="Week"/>
    <x:tableColumn id="3" name="Week dates"/>
    <x:tableColumn id="4" name="Lesson #"/>
    <x:tableColumn id="5" name="Slot type"/>
    <x:tableColumn id="6" name="Strand"/>
    <x:tableColumn id="7" name="Unit"/>
    <x:tableColumn id="8" name="Unit lesson"/>
    <x:tableColumn id="9" name="Lesson / activity"/>
    <x:tableColumn id="10" name="Learning objectives / teacher notes"/>
    <x:tableColumn id="11" name="Personalisation / stretch / support"/>
    <x:tableColumn id="12" name="Pearson / specification reference"/>
    <x:tableColumn id="13" name="Assessment type"/>
    <x:tableColumn id="14" name="Evidence for"/>
    <x:tableColumn id="15" name="Calendar / pacing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a33a7e03174e3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9" hidden="0" customWidth="1"/>
    <x:col min="5" max="5" width="18" hidden="0" customWidth="1"/>
    <x:col min="6" max="6" width="18" hidden="0" customWidth="1"/>
    <x:col min="7" max="7" width="32" hidden="0" customWidth="1"/>
    <x:col min="8" max="8" width="14" hidden="0" customWidth="1"/>
    <x:col min="9" max="9" width="36" hidden="0" customWidth="1"/>
    <x:col min="10" max="10" width="56" hidden="0" customWidth="1"/>
    <x:col min="11" max="11" width="40" hidden="0" customWidth="1"/>
    <x:col min="12" max="12" width="34" hidden="0" customWidth="1"/>
    <x:col min="13" max="13" width="18" hidden="0" customWidth="1"/>
    <x:col min="14" max="14" width="24" hidden="0" customWidth="1"/>
    <x:col min="15" max="15" width="32" hidden="0" customWidth="1"/>
  </x:cols>
  <x:sheetData>
    <x:row r="1" ht="16.799999237060547" hidden="0" customHeight="1">
      <x:c r="A1" s="5" t="str">
        <x:v>WELLINGTON COLLEGE INTERNATIONAL BANGKOK - Year 9 Ma1 Mathematics - Scheme of Work 2026/27 - IGCSE normal Y10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156" hidden="0" customHeight="1">
      <x:c r="A2" s="14" t="str">
        <x:v>Course: Pearson Edexcel IGCSE 4MA1 Higher, KS4 Normal Y10 pathway | Model: 7 x 50-min lessons per fortnight | M1A induction | teaching starts M2B | one unit assessment per unit | S11A off-timetable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/>
    <x:row r="4" ht="15" hidden="0" customHeight="1">
      <x:c r="A4" s="23" t="str">
        <x:v>Term</x:v>
      </x:c>
      <x:c r="B4" s="23" t="str">
        <x:v>Week</x:v>
      </x:c>
      <x:c r="C4" s="23" t="str">
        <x:v>Week dates</x:v>
      </x:c>
      <x:c r="D4" s="23" t="str">
        <x:v>Lesson #</x:v>
      </x:c>
      <x:c r="E4" s="23" t="str">
        <x:v>Slot type</x:v>
      </x:c>
      <x:c r="F4" s="23" t="str">
        <x:v>Strand</x:v>
      </x:c>
      <x:c r="G4" s="23" t="str">
        <x:v>Unit</x:v>
      </x:c>
      <x:c r="H4" s="23" t="str">
        <x:v>Unit lesson</x:v>
      </x:c>
      <x:c r="I4" s="23" t="str">
        <x:v>Lesson / activity</x:v>
      </x:c>
      <x:c r="J4" s="23" t="str">
        <x:v>Learning objectives / teacher notes</x:v>
      </x:c>
      <x:c r="K4" s="23" t="str">
        <x:v>Personalisation / stretch / support</x:v>
      </x:c>
      <x:c r="L4" s="23" t="str">
        <x:v>Pearson / specification reference</x:v>
      </x:c>
      <x:c r="M4" s="23" t="str">
        <x:v>Assessment type</x:v>
      </x:c>
      <x:c r="N4" s="23" t="str">
        <x:v>Evidence for</x:v>
      </x:c>
      <x:c r="O4" s="23" t="str">
        <x:v>Calendar / pacing notes</x:v>
      </x:c>
    </x:row>
    <x:row r="5" ht="39.599998474121094" hidden="0" customHeight="1">
      <x:c r="A5" s="30" t="str">
        <x:v>Michaelmas</x:v>
      </x:c>
      <x:c r="B5" s="30" t="str">
        <x:v>M1A</x:v>
      </x:c>
      <x:c r="C5" s="30" t="str">
        <x:v>27-28 Aug 2026</x:v>
      </x:c>
      <x:c r="D5" s="32" t="n">
        <x:v>1</x:v>
      </x:c>
      <x:c r="E5" s="30" t="str">
        <x:v>Induction / Orientation</x:v>
      </x:c>
      <x:c r="F5" s="30" t="str">
        <x:v>Learning routines</x:v>
      </x:c>
      <x:c r="G5" s="30" t="str">
        <x:v>Start of Year</x:v>
      </x:c>
      <x:c r="H5" s="30" t="str">
        <x:v>1/2</x:v>
      </x:c>
      <x:c r="I5" s="30" t="str">
        <x:v>Getting to know the class and GCSE habits</x:v>
      </x:c>
      <x:c r="J5" s="30" t="str">
        <x:v>Build class routines, confidence and expectations. Introduce GCSE exercise book, calculator, homework and self-correction routines. No formal Pearson/IGCSE unit starts this week.</x:v>
      </x:c>
      <x:c r="K5" s="30" t="str"/>
      <x:c r="L5" s="30" t="str">
        <x:v>Teacher-created start-of-year routine</x:v>
      </x:c>
      <x:c r="M5" s="30" t="str">
        <x:v>Diagnostic / pastoral</x:v>
      </x:c>
      <x:c r="N5" s="30" t="str">
        <x:v>Start of Year</x:v>
      </x:c>
      <x:c r="O5" s="30" t="str"/>
    </x:row>
    <x:row r="6" ht="39.599998474121094" hidden="0" customHeight="1">
      <x:c r="A6" s="30" t="str">
        <x:v>Michaelmas</x:v>
      </x:c>
      <x:c r="B6" s="30" t="str">
        <x:v>M1A</x:v>
      </x:c>
      <x:c r="C6" s="30" t="str">
        <x:v>27-28 Aug 2026</x:v>
      </x:c>
      <x:c r="D6" s="32" t="n">
        <x:v>2</x:v>
      </x:c>
      <x:c r="E6" s="30" t="str">
        <x:v>Induction / Orientation</x:v>
      </x:c>
      <x:c r="F6" s="30" t="str">
        <x:v>Learning routines</x:v>
      </x:c>
      <x:c r="G6" s="30" t="str">
        <x:v>Start of Year</x:v>
      </x:c>
      <x:c r="H6" s="30" t="str">
        <x:v>2/2</x:v>
      </x:c>
      <x:c r="I6" s="30" t="str">
        <x:v>Baseline problem-solving and algebra readiness check</x:v>
      </x:c>
      <x:c r="J6" s="30" t="str">
        <x:v>Low-stakes diagnostic covering number fluency, algebra manipulation, graph skills and problem-solving. Use outcomes to plan support for Unit 1.</x:v>
      </x:c>
      <x:c r="K6" s="30" t="str"/>
      <x:c r="L6" s="30" t="str">
        <x:v>Teacher-created diagnostic activity</x:v>
      </x:c>
      <x:c r="M6" s="30" t="str">
        <x:v>Diagnostic / pastoral</x:v>
      </x:c>
      <x:c r="N6" s="30" t="str">
        <x:v>Start of Year</x:v>
      </x:c>
      <x:c r="O6" s="30" t="str"/>
    </x:row>
    <x:row r="7" ht="52.79999923706055" hidden="0" customHeight="1">
      <x:c r="A7" s="30" t="str">
        <x:v>Michaelmas</x:v>
      </x:c>
      <x:c r="B7" s="30" t="str">
        <x:v>M2B</x:v>
      </x:c>
      <x:c r="C7" s="30" t="str">
        <x:v>31 Aug-4 Sep 2026</x:v>
      </x:c>
      <x:c r="D7" s="32" t="n">
        <x:v>3</x:v>
      </x:c>
      <x:c r="E7" s="30" t="str">
        <x:v>Teaching</x:v>
      </x:c>
      <x:c r="F7" s="30" t="str">
        <x:v>Number</x:v>
      </x:c>
      <x:c r="G7" s="30" t="str">
        <x:v>Unit 1 — Number (complete block)</x:v>
      </x:c>
      <x:c r="H7" s="30" t="str">
        <x:v>1/15</x:v>
      </x:c>
      <x:c r="I7" s="30" t="str">
        <x:v>Fractions — all operations</x:v>
      </x:c>
      <x:c r="J7" s="30" t="str">
        <x:v>Multiply/divide fractions and mixed numbers; add/subtract fractions; convert between fractions, decimals and percentages.</x:v>
      </x:c>
      <x:c r="K7" s="30" t="str">
        <x:v>Top set: use GCSE extension questions, proof prompts and non-routine contexts. Scaffold with retrieval starters and worked-example fading where needed.</x:v>
      </x:c>
      <x:c r="L7" s="30" t="str">
        <x:v>Book 1 · Number 1</x:v>
      </x:c>
      <x:c r="M7" s="30" t="str"/>
      <x:c r="N7" s="30"/>
      <x:c r="O7" s="30" t="str"/>
    </x:row>
    <x:row r="8" ht="52.79999923706055" hidden="0" customHeight="1">
      <x:c r="A8" s="30" t="str">
        <x:v>Michaelmas</x:v>
      </x:c>
      <x:c r="B8" s="30" t="str">
        <x:v>M2B</x:v>
      </x:c>
      <x:c r="C8" s="30" t="str">
        <x:v>31 Aug-4 Sep 2026</x:v>
      </x:c>
      <x:c r="D8" s="32" t="n">
        <x:v>4</x:v>
      </x:c>
      <x:c r="E8" s="30" t="str">
        <x:v>Teaching</x:v>
      </x:c>
      <x:c r="F8" s="30" t="str">
        <x:v>Number</x:v>
      </x:c>
      <x:c r="G8" s="30" t="str">
        <x:v>Unit 1 — Number (complete block)</x:v>
      </x:c>
      <x:c r="H8" s="30" t="str">
        <x:v>2/15</x:v>
      </x:c>
      <x:c r="I8" s="30" t="str">
        <x:v>BIDMAS &amp; order of operations</x:v>
      </x:c>
      <x:c r="J8" s="30" t="str">
        <x:v>Apply correct order of operations, including brackets, powers and calculator entry.</x:v>
      </x:c>
      <x:c r="K8" s="30" t="str">
        <x:v>Top set: use GCSE extension questions, proof prompts and non-routine contexts. Scaffold with retrieval starters and worked-example fading where needed.</x:v>
      </x:c>
      <x:c r="L8" s="30" t="str">
        <x:v>Book 1 · Number 1</x:v>
      </x:c>
      <x:c r="M8" s="30" t="str"/>
      <x:c r="N8" s="30"/>
      <x:c r="O8" s="30" t="str"/>
    </x:row>
    <x:row r="9" ht="52.79999923706055" hidden="0" customHeight="1">
      <x:c r="A9" s="30" t="str">
        <x:v>Michaelmas</x:v>
      </x:c>
      <x:c r="B9" s="30" t="str">
        <x:v>M2B</x:v>
      </x:c>
      <x:c r="C9" s="30" t="str">
        <x:v>31 Aug-4 Sep 2026</x:v>
      </x:c>
      <x:c r="D9" s="32" t="n">
        <x:v>5</x:v>
      </x:c>
      <x:c r="E9" s="30" t="str">
        <x:v>Teaching</x:v>
      </x:c>
      <x:c r="F9" s="30" t="str">
        <x:v>Number</x:v>
      </x:c>
      <x:c r="G9" s="30" t="str">
        <x:v>Unit 1 — Number (complete block)</x:v>
      </x:c>
      <x:c r="H9" s="30" t="str">
        <x:v>3/15</x:v>
      </x:c>
      <x:c r="I9" s="30" t="str">
        <x:v>Rounding, significant figures and estimation</x:v>
      </x:c>
      <x:c r="J9" s="30" t="str">
        <x:v>Round to decimal places and significant figures; estimate to check answers.</x:v>
      </x:c>
      <x:c r="K9" s="30" t="str">
        <x:v>Top set: use GCSE extension questions, proof prompts and non-routine contexts. Scaffold with retrieval starters and worked-example fading where needed.</x:v>
      </x:c>
      <x:c r="L9" s="30" t="str">
        <x:v>Book 1 · Number 1 / Number 5</x:v>
      </x:c>
      <x:c r="M9" s="30" t="str"/>
      <x:c r="N9" s="30"/>
      <x:c r="O9" s="30" t="str"/>
    </x:row>
    <x:row r="10" ht="52.79999923706055" hidden="0" customHeight="1">
      <x:c r="A10" s="30" t="str">
        <x:v>Michaelmas</x:v>
      </x:c>
      <x:c r="B10" s="30" t="str">
        <x:v>M3A</x:v>
      </x:c>
      <x:c r="C10" s="30" t="str">
        <x:v>7-11 Sep 2026</x:v>
      </x:c>
      <x:c r="D10" s="32" t="n">
        <x:v>6</x:v>
      </x:c>
      <x:c r="E10" s="30" t="str">
        <x:v>Teaching</x:v>
      </x:c>
      <x:c r="F10" s="30" t="str">
        <x:v>Number</x:v>
      </x:c>
      <x:c r="G10" s="30" t="str">
        <x:v>Unit 1 — Number (complete block)</x:v>
      </x:c>
      <x:c r="H10" s="30" t="str">
        <x:v>4/15</x:v>
      </x:c>
      <x:c r="I10" s="30" t="str">
        <x:v>Standard form</x:v>
      </x:c>
      <x:c r="J10" s="30" t="str">
        <x:v>Write numbers in standard form and convert between ordinary and standard form.</x:v>
      </x:c>
      <x:c r="K10" s="30" t="str">
        <x:v>Top set: use GCSE extension questions, proof prompts and non-routine contexts. Scaffold with retrieval starters and worked-example fading where needed.</x:v>
      </x:c>
      <x:c r="L10" s="30" t="str">
        <x:v>Book 1 · Number 2</x:v>
      </x:c>
      <x:c r="M10" s="30" t="str"/>
      <x:c r="N10" s="30"/>
      <x:c r="O10" s="30" t="str"/>
    </x:row>
    <x:row r="11" ht="52.79999923706055" hidden="0" customHeight="1">
      <x:c r="A11" s="30" t="str">
        <x:v>Michaelmas</x:v>
      </x:c>
      <x:c r="B11" s="30" t="str">
        <x:v>M3A</x:v>
      </x:c>
      <x:c r="C11" s="30" t="str">
        <x:v>7-11 Sep 2026</x:v>
      </x:c>
      <x:c r="D11" s="32" t="n">
        <x:v>7</x:v>
      </x:c>
      <x:c r="E11" s="30" t="str">
        <x:v>Teaching</x:v>
      </x:c>
      <x:c r="F11" s="30" t="str">
        <x:v>Number</x:v>
      </x:c>
      <x:c r="G11" s="30" t="str">
        <x:v>Unit 1 — Number (complete block)</x:v>
      </x:c>
      <x:c r="H11" s="30" t="str">
        <x:v>5/15</x:v>
      </x:c>
      <x:c r="I11" s="30" t="str">
        <x:v>Percentages — basic, increase/decrease and multipliers (1/2)</x:v>
      </x:c>
      <x:c r="J11" s="30" t="str">
        <x:v>Part 1/2: Find percentages of amounts; calculate percentage increase/decrease using multipliers.</x:v>
      </x:c>
      <x:c r="K11" s="30" t="str">
        <x:v>Top set: use GCSE extension questions, proof prompts and non-routine contexts. Scaffold with retrieval starters and worked-example fading where needed.</x:v>
      </x:c>
      <x:c r="L11" s="30" t="str">
        <x:v>Book 1 · Number 2</x:v>
      </x:c>
      <x:c r="M11" s="30" t="str"/>
      <x:c r="N11" s="30"/>
      <x:c r="O11" s="30" t="str"/>
    </x:row>
    <x:row r="12" ht="52.79999923706055" hidden="0" customHeight="1">
      <x:c r="A12" s="30" t="str">
        <x:v>Michaelmas</x:v>
      </x:c>
      <x:c r="B12" s="30" t="str">
        <x:v>M3A</x:v>
      </x:c>
      <x:c r="C12" s="30" t="str">
        <x:v>7-11 Sep 2026</x:v>
      </x:c>
      <x:c r="D12" s="32" t="n">
        <x:v>8</x:v>
      </x:c>
      <x:c r="E12" s="30" t="str">
        <x:v>Teaching</x:v>
      </x:c>
      <x:c r="F12" s="30" t="str">
        <x:v>Number</x:v>
      </x:c>
      <x:c r="G12" s="30" t="str">
        <x:v>Unit 1 — Number (complete block)</x:v>
      </x:c>
      <x:c r="H12" s="30" t="str">
        <x:v>6/15</x:v>
      </x:c>
      <x:c r="I12" s="30" t="str">
        <x:v>Percentages — basic, increase/decrease and multipliers (2/2)</x:v>
      </x:c>
      <x:c r="J12" s="30" t="str">
        <x:v>Part 2/2: Find percentages of amounts; calculate percentage increase/decrease using multipliers.</x:v>
      </x:c>
      <x:c r="K12" s="30" t="str">
        <x:v>Top set: use GCSE extension questions, proof prompts and non-routine contexts. Scaffold with retrieval starters and worked-example fading where needed.</x:v>
      </x:c>
      <x:c r="L12" s="30" t="str">
        <x:v>Book 1 · Number 2</x:v>
      </x:c>
      <x:c r="M12" s="30" t="str"/>
      <x:c r="N12" s="30"/>
      <x:c r="O12" s="30" t="str"/>
    </x:row>
    <x:row r="13" ht="52.79999923706055" hidden="0" customHeight="1">
      <x:c r="A13" s="30" t="str">
        <x:v>Michaelmas</x:v>
      </x:c>
      <x:c r="B13" s="30" t="str">
        <x:v>M3A</x:v>
      </x:c>
      <x:c r="C13" s="30" t="str">
        <x:v>7-11 Sep 2026</x:v>
      </x:c>
      <x:c r="D13" s="32" t="n">
        <x:v>9</x:v>
      </x:c>
      <x:c r="E13" s="30" t="str">
        <x:v>Teaching</x:v>
      </x:c>
      <x:c r="F13" s="30" t="str">
        <x:v>Number</x:v>
      </x:c>
      <x:c r="G13" s="30" t="str">
        <x:v>Unit 1 — Number (complete block)</x:v>
      </x:c>
      <x:c r="H13" s="30" t="str">
        <x:v>7/15</x:v>
      </x:c>
      <x:c r="I13" s="30" t="str">
        <x:v>Compound interest, depreciation and reverse percentages (1/2)</x:v>
      </x:c>
      <x:c r="J13" s="30" t="str">
        <x:v>Part 1/2: Apply repeated percentage change and reverse percentage methods in context.</x:v>
      </x:c>
      <x:c r="K13" s="30" t="str">
        <x:v>Top set: use GCSE extension questions, proof prompts and non-routine contexts. Scaffold with retrieval starters and worked-example fading where needed.</x:v>
      </x:c>
      <x:c r="L13" s="30" t="str">
        <x:v>Book 1 · Number 4</x:v>
      </x:c>
      <x:c r="M13" s="30" t="str"/>
      <x:c r="N13" s="30"/>
      <x:c r="O13" s="30" t="str"/>
    </x:row>
    <x:row r="14" ht="52.79999923706055" hidden="0" customHeight="1">
      <x:c r="A14" s="30" t="str">
        <x:v>Michaelmas</x:v>
      </x:c>
      <x:c r="B14" s="30" t="str">
        <x:v>M4B</x:v>
      </x:c>
      <x:c r="C14" s="30" t="str">
        <x:v>14-18 Sep 2026</x:v>
      </x:c>
      <x:c r="D14" s="32" t="n">
        <x:v>10</x:v>
      </x:c>
      <x:c r="E14" s="30" t="str">
        <x:v>Teaching</x:v>
      </x:c>
      <x:c r="F14" s="30" t="str">
        <x:v>Number</x:v>
      </x:c>
      <x:c r="G14" s="30" t="str">
        <x:v>Unit 1 — Number (complete block)</x:v>
      </x:c>
      <x:c r="H14" s="30" t="str">
        <x:v>8/15</x:v>
      </x:c>
      <x:c r="I14" s="30" t="str">
        <x:v>Compound interest, depreciation and reverse percentages (2/2)</x:v>
      </x:c>
      <x:c r="J14" s="30" t="str">
        <x:v>Part 2/2: Apply repeated percentage change and reverse percentage methods in context.</x:v>
      </x:c>
      <x:c r="K14" s="30" t="str">
        <x:v>Top set: use GCSE extension questions, proof prompts and non-routine contexts. Scaffold with retrieval starters and worked-example fading where needed.</x:v>
      </x:c>
      <x:c r="L14" s="30" t="str">
        <x:v>Book 1 · Number 4</x:v>
      </x:c>
      <x:c r="M14" s="30" t="str"/>
      <x:c r="N14" s="30"/>
      <x:c r="O14" s="30" t="str"/>
    </x:row>
    <x:row r="15" ht="52.79999923706055" hidden="0" customHeight="1">
      <x:c r="A15" s="30" t="str">
        <x:v>Michaelmas</x:v>
      </x:c>
      <x:c r="B15" s="30" t="str">
        <x:v>M4B</x:v>
      </x:c>
      <x:c r="C15" s="30" t="str">
        <x:v>14-18 Sep 2026</x:v>
      </x:c>
      <x:c r="D15" s="32" t="n">
        <x:v>11</x:v>
      </x:c>
      <x:c r="E15" s="30" t="str">
        <x:v>Teaching</x:v>
      </x:c>
      <x:c r="F15" s="30" t="str">
        <x:v>Number</x:v>
      </x:c>
      <x:c r="G15" s="30" t="str">
        <x:v>Unit 1 — Number (complete block)</x:v>
      </x:c>
      <x:c r="H15" s="30" t="str">
        <x:v>9/15</x:v>
      </x:c>
      <x:c r="I15" s="30" t="str">
        <x:v>Prime factors, HCF, LCM and ratio (1/2)</x:v>
      </x:c>
      <x:c r="J15" s="30" t="str">
        <x:v>Part 1/2: Use prime factor decomposition; find HCF/LCM; simplify and divide in a ratio.</x:v>
      </x:c>
      <x:c r="K15" s="30" t="str">
        <x:v>Top set: use GCSE extension questions, proof prompts and non-routine contexts. Scaffold with retrieval starters and worked-example fading where needed.</x:v>
      </x:c>
      <x:c r="L15" s="30" t="str">
        <x:v>Book 1 · Number 3</x:v>
      </x:c>
      <x:c r="M15" s="30" t="str"/>
      <x:c r="N15" s="30"/>
      <x:c r="O15" s="30" t="str"/>
    </x:row>
    <x:row r="16" ht="52.79999923706055" hidden="0" customHeight="1">
      <x:c r="A16" s="30" t="str">
        <x:v>Michaelmas</x:v>
      </x:c>
      <x:c r="B16" s="30" t="str">
        <x:v>M4B</x:v>
      </x:c>
      <x:c r="C16" s="30" t="str">
        <x:v>14-18 Sep 2026</x:v>
      </x:c>
      <x:c r="D16" s="32" t="n">
        <x:v>12</x:v>
      </x:c>
      <x:c r="E16" s="30" t="str">
        <x:v>Teaching</x:v>
      </x:c>
      <x:c r="F16" s="30" t="str">
        <x:v>Number</x:v>
      </x:c>
      <x:c r="G16" s="30" t="str">
        <x:v>Unit 1 — Number (complete block)</x:v>
      </x:c>
      <x:c r="H16" s="30" t="str">
        <x:v>10/15</x:v>
      </x:c>
      <x:c r="I16" s="30" t="str">
        <x:v>Prime factors, HCF, LCM and ratio (2/2)</x:v>
      </x:c>
      <x:c r="J16" s="30" t="str">
        <x:v>Part 2/2: Use prime factor decomposition; find HCF/LCM; simplify and divide in a ratio.</x:v>
      </x:c>
      <x:c r="K16" s="30" t="str">
        <x:v>Top set: use GCSE extension questions, proof prompts and non-routine contexts. Scaffold with retrieval starters and worked-example fading where needed.</x:v>
      </x:c>
      <x:c r="L16" s="30" t="str">
        <x:v>Book 1 · Number 3</x:v>
      </x:c>
      <x:c r="M16" s="30" t="str"/>
      <x:c r="N16" s="30"/>
      <x:c r="O16" s="30" t="str"/>
    </x:row>
    <x:row r="17" ht="15" hidden="0" customHeight="1">
      <x:c r="A17" s="30" t="str">
        <x:v>Michaelmas</x:v>
      </x:c>
      <x:c r="B17" s="30" t="str">
        <x:v>M5A</x:v>
      </x:c>
      <x:c r="C17" s="30" t="str">
        <x:v>21-25 Sep 2026</x:v>
      </x:c>
      <x:c r="D17" s="32"/>
      <x:c r="E17" s="30" t="str">
        <x:v>Calendar Event</x:v>
      </x:c>
      <x:c r="F17" s="30"/>
      <x:c r="G17" s="30"/>
      <x:c r="H17" s="30"/>
      <x:c r="I17" s="30" t="str">
        <x:v>INTERIM REPORT 0 OPENS - Wed 23 Sep</x:v>
      </x:c>
      <x:c r="J17" s="30" t="str">
        <x:v>Yr 7-13 Interim Report 0 opens Wed 23 Sep, internal use only.</x:v>
      </x:c>
      <x:c r="K17" s="30"/>
      <x:c r="L17" s="30"/>
      <x:c r="M17" s="30" t="str">
        <x:v>Report window</x:v>
      </x:c>
      <x:c r="N17" s="30"/>
      <x:c r="O17" s="30" t="str">
        <x:v>Placed in the academic-calendar week</x:v>
      </x:c>
    </x:row>
    <x:row r="18" ht="52.79999923706055" hidden="0" customHeight="1">
      <x:c r="A18" s="30" t="str">
        <x:v>Michaelmas</x:v>
      </x:c>
      <x:c r="B18" s="30" t="str">
        <x:v>M5A</x:v>
      </x:c>
      <x:c r="C18" s="30" t="str">
        <x:v>21-25 Sep 2026</x:v>
      </x:c>
      <x:c r="D18" s="32" t="n">
        <x:v>13</x:v>
      </x:c>
      <x:c r="E18" s="30" t="str">
        <x:v>Teaching</x:v>
      </x:c>
      <x:c r="F18" s="30" t="str">
        <x:v>Number</x:v>
      </x:c>
      <x:c r="G18" s="30" t="str">
        <x:v>Unit 1 — Number (complete block)</x:v>
      </x:c>
      <x:c r="H18" s="30" t="str">
        <x:v>11/15</x:v>
      </x:c>
      <x:c r="I18" s="30" t="str">
        <x:v>Recurring decimals and advanced calculator use</x:v>
      </x:c>
      <x:c r="J18" s="30" t="str">
        <x:v>Convert recurring decimals to fractions and use calculators efficiently for complex expressions.</x:v>
      </x:c>
      <x:c r="K18" s="30" t="str">
        <x:v>Top set: use GCSE extension questions, proof prompts and non-routine contexts. Scaffold with retrieval starters and worked-example fading where needed.</x:v>
      </x:c>
      <x:c r="L18" s="30" t="str">
        <x:v>Book 2 · Number 7</x:v>
      </x:c>
      <x:c r="M18" s="30" t="str"/>
      <x:c r="N18" s="30"/>
      <x:c r="O18" s="30" t="str"/>
    </x:row>
    <x:row r="19" ht="52.79999923706055" hidden="0" customHeight="1">
      <x:c r="A19" s="30" t="str">
        <x:v>Michaelmas</x:v>
      </x:c>
      <x:c r="B19" s="30" t="str">
        <x:v>M5A</x:v>
      </x:c>
      <x:c r="C19" s="30" t="str">
        <x:v>21-25 Sep 2026</x:v>
      </x:c>
      <x:c r="D19" s="32" t="n">
        <x:v>14</x:v>
      </x:c>
      <x:c r="E19" s="30" t="str">
        <x:v>Teaching</x:v>
      </x:c>
      <x:c r="F19" s="30" t="str">
        <x:v>Number</x:v>
      </x:c>
      <x:c r="G19" s="30" t="str">
        <x:v>Unit 1 — Number (complete block)</x:v>
      </x:c>
      <x:c r="H19" s="30" t="str">
        <x:v>12/15</x:v>
      </x:c>
      <x:c r="I19" s="30" t="str">
        <x:v>Bounds and error intervals (1/2)</x:v>
      </x:c>
      <x:c r="J19" s="30" t="str">
        <x:v>Part 1/2: Find upper/lower bounds and error intervals; apply bounds in calculations.</x:v>
      </x:c>
      <x:c r="K19" s="30" t="str">
        <x:v>Top set: use GCSE extension questions, proof prompts and non-routine contexts. Scaffold with retrieval starters and worked-example fading where needed.</x:v>
      </x:c>
      <x:c r="L19" s="30" t="str">
        <x:v>Book 1 · Number 5</x:v>
      </x:c>
      <x:c r="M19" s="30" t="str"/>
      <x:c r="N19" s="30"/>
      <x:c r="O19" s="30" t="str"/>
    </x:row>
    <x:row r="20" ht="52.79999923706055" hidden="0" customHeight="1">
      <x:c r="A20" s="30" t="str">
        <x:v>Michaelmas</x:v>
      </x:c>
      <x:c r="B20" s="30" t="str">
        <x:v>M5A</x:v>
      </x:c>
      <x:c r="C20" s="30" t="str">
        <x:v>21-25 Sep 2026</x:v>
      </x:c>
      <x:c r="D20" s="32" t="n">
        <x:v>15</x:v>
      </x:c>
      <x:c r="E20" s="30" t="str">
        <x:v>Teaching</x:v>
      </x:c>
      <x:c r="F20" s="30" t="str">
        <x:v>Number</x:v>
      </x:c>
      <x:c r="G20" s="30" t="str">
        <x:v>Unit 1 — Number (complete block)</x:v>
      </x:c>
      <x:c r="H20" s="30" t="str">
        <x:v>13/15</x:v>
      </x:c>
      <x:c r="I20" s="30" t="str">
        <x:v>Bounds and error intervals (2/2)</x:v>
      </x:c>
      <x:c r="J20" s="30" t="str">
        <x:v>Part 2/2: Find upper/lower bounds and error intervals; apply bounds in calculations.</x:v>
      </x:c>
      <x:c r="K20" s="30" t="str">
        <x:v>Top set: use GCSE extension questions, proof prompts and non-routine contexts. Scaffold with retrieval starters and worked-example fading where needed.</x:v>
      </x:c>
      <x:c r="L20" s="30" t="str">
        <x:v>Book 1 · Number 5</x:v>
      </x:c>
      <x:c r="M20" s="30" t="str"/>
      <x:c r="N20" s="30"/>
      <x:c r="O20" s="30" t="str"/>
    </x:row>
    <x:row r="21" ht="52.79999923706055" hidden="0" customHeight="1">
      <x:c r="A21" s="30" t="str">
        <x:v>Michaelmas</x:v>
      </x:c>
      <x:c r="B21" s="30" t="str">
        <x:v>M5A</x:v>
      </x:c>
      <x:c r="C21" s="30" t="str">
        <x:v>21-25 Sep 2026</x:v>
      </x:c>
      <x:c r="D21" s="32" t="n">
        <x:v>16</x:v>
      </x:c>
      <x:c r="E21" s="30" t="str">
        <x:v>Teaching</x:v>
      </x:c>
      <x:c r="F21" s="30" t="str">
        <x:v>Number</x:v>
      </x:c>
      <x:c r="G21" s="30" t="str">
        <x:v>Unit 1 — Number (complete block)</x:v>
      </x:c>
      <x:c r="H21" s="30" t="str">
        <x:v>14/15</x:v>
      </x:c>
      <x:c r="I21" s="30" t="str">
        <x:v>Applied number — costs, tax, salaries and currency</x:v>
      </x:c>
      <x:c r="J21" s="30" t="str">
        <x:v>Compare costs, calculate tax/net pay and convert currencies in real-life contexts.</x:v>
      </x:c>
      <x:c r="K21" s="30" t="str">
        <x:v>Top set: use GCSE extension questions, proof prompts and non-routine contexts. Scaffold with retrieval starters and worked-example fading where needed.</x:v>
      </x:c>
      <x:c r="L21" s="30" t="str">
        <x:v>Book 2 · Number 9</x:v>
      </x:c>
      <x:c r="M21" s="30" t="str"/>
      <x:c r="N21" s="30"/>
      <x:c r="O21" s="30" t="str"/>
    </x:row>
    <x:row r="22" ht="39.599998474121094" hidden="0" customHeight="1">
      <x:c r="A22" s="30" t="str">
        <x:v>Michaelmas</x:v>
      </x:c>
      <x:c r="B22" s="30" t="str">
        <x:v>M6B</x:v>
      </x:c>
      <x:c r="C22" s="30" t="str">
        <x:v>28 Sep-2 Oct 2026</x:v>
      </x:c>
      <x:c r="D22" s="32" t="n">
        <x:v>17</x:v>
      </x:c>
      <x:c r="E22" s="30" t="str">
        <x:v>Review</x:v>
      </x:c>
      <x:c r="F22" s="30" t="str">
        <x:v>Number</x:v>
      </x:c>
      <x:c r="G22" s="30" t="str">
        <x:v>Unit 1 — Number (complete block)</x:v>
      </x:c>
      <x:c r="H22" s="30" t="str">
        <x:v>15/15</x:v>
      </x:c>
      <x:c r="I22" s="30" t="str">
        <x:v>Number consolidation and mixed practice</x:v>
      </x:c>
      <x:c r="J22" s="30" t="str">
        <x:v>Mixed exam-style number questions across the full unit.</x:v>
      </x:c>
      <x:c r="K22" s="30" t="str">
        <x:v>Group by need from recent exit tickets. Include stretch pathway for pupils ready for harder GCSE or problem-solving tasks.</x:v>
      </x:c>
      <x:c r="L22" s="30" t="str">
        <x:v>Book 1/2 Number chapters</x:v>
      </x:c>
      <x:c r="M22" s="30" t="str"/>
      <x:c r="N22" s="30"/>
      <x:c r="O22" s="30" t="str"/>
    </x:row>
    <x:row r="23" ht="39.599998474121094" hidden="0" customHeight="1">
      <x:c r="A23" s="30" t="str">
        <x:v>Michaelmas</x:v>
      </x:c>
      <x:c r="B23" s="30" t="str">
        <x:v>M6B</x:v>
      </x:c>
      <x:c r="C23" s="30" t="str">
        <x:v>28 Sep-2 Oct 2026</x:v>
      </x:c>
      <x:c r="D23" s="32" t="n">
        <x:v>18</x:v>
      </x:c>
      <x:c r="E23" s="30" t="str">
        <x:v>Unit Assessment</x:v>
      </x:c>
      <x:c r="F23" s="30" t="str">
        <x:v>Number</x:v>
      </x:c>
      <x:c r="G23" s="30" t="str">
        <x:v>Unit 1 — Number (complete block)</x:v>
      </x:c>
      <x:c r="H23" s="30" t="str">
        <x:v>Assessment</x:v>
      </x:c>
      <x:c r="I23" s="30" t="str">
        <x:v>Unit 1 - Number (complete block) assessment</x:v>
      </x:c>
      <x:c r="J23" s="30" t="str">
        <x:v>End-of-unit assessment for Unit 1 — Number (complete block). Use results to inform reteaching, intervention and reporting evidence.</x:v>
      </x:c>
      <x:c r="K23" s="30" t="str">
        <x:v>Use access arrangements and clear success criteria. Follow with targeted reteaching where class data shows common misconceptions.</x:v>
      </x:c>
      <x:c r="L23" s="30" t="str">
        <x:v>Unit 1 assessment</x:v>
      </x:c>
      <x:c r="M23" s="30" t="str">
        <x:v>Unit Assessment</x:v>
      </x:c>
      <x:c r="N23" s="30" t="str">
        <x:v>Unit 1 — Number (complete block)</x:v>
      </x:c>
      <x:c r="O23" s="30" t="str"/>
    </x:row>
    <x:row r="24" ht="26.399999618530273" hidden="0" customHeight="1">
      <x:c r="A24" s="30" t="str">
        <x:v>Michaelmas</x:v>
      </x:c>
      <x:c r="B24" s="30" t="str">
        <x:v>M6B</x:v>
      </x:c>
      <x:c r="C24" s="30" t="str">
        <x:v>28 Sep-2 Oct 2026</x:v>
      </x:c>
      <x:c r="D24" s="32" t="n">
        <x:v>19</x:v>
      </x:c>
      <x:c r="E24" s="30" t="str">
        <x:v>Teaching</x:v>
      </x:c>
      <x:c r="F24" s="30" t="str">
        <x:v>Ratio / Measures</x:v>
      </x:c>
      <x:c r="G24" s="30" t="str">
        <x:v>Unit 2 — Ratio, proportion &amp; measures</x:v>
      </x:c>
      <x:c r="H24" s="30" t="str">
        <x:v>1/10</x:v>
      </x:c>
      <x:c r="I24" s="30" t="str">
        <x:v>Compound measures and unit conversions (1/2)</x:v>
      </x:c>
      <x:c r="J24" s="30" t="str">
        <x:v>Part 1/2: Use speed, density and pressure; convert between length, area and volume units.</x:v>
      </x:c>
      <x:c r="K24" s="30" t="str"/>
      <x:c r="L24" s="30" t="str">
        <x:v>Book 2 · Number 8</x:v>
      </x:c>
      <x:c r="M24" s="30" t="str"/>
      <x:c r="N24" s="30"/>
      <x:c r="O24" s="30" t="str"/>
    </x:row>
    <x:row r="25" ht="26.399999618530273" hidden="0" customHeight="1">
      <x:c r="A25" s="30" t="str">
        <x:v>Michaelmas</x:v>
      </x:c>
      <x:c r="B25" s="30" t="str">
        <x:v>M7A</x:v>
      </x:c>
      <x:c r="C25" s="30" t="str">
        <x:v>5-9 Oct 2026</x:v>
      </x:c>
      <x:c r="D25" s="32"/>
      <x:c r="E25" s="30" t="str">
        <x:v>Calendar Event</x:v>
      </x:c>
      <x:c r="F25" s="30"/>
      <x:c r="G25" s="30"/>
      <x:c r="H25" s="30"/>
      <x:c r="I25" s="30" t="str">
        <x:v>INTERIM REPORT 0 CLOSES / DATA CHECK - Wed 7 Oct</x:v>
      </x:c>
      <x:c r="J25" s="30" t="str">
        <x:v>IR0 closes Wed 7 Oct. Tutor contact and HoD data checks in this week.</x:v>
      </x:c>
      <x:c r="K25" s="30"/>
      <x:c r="L25" s="30"/>
      <x:c r="M25" s="30" t="str">
        <x:v>Report window</x:v>
      </x:c>
      <x:c r="N25" s="30"/>
      <x:c r="O25" s="30" t="str">
        <x:v>Placed in the academic-calendar week</x:v>
      </x:c>
    </x:row>
    <x:row r="26" ht="26.399999618530273" hidden="0" customHeight="1">
      <x:c r="A26" s="30" t="str">
        <x:v>Michaelmas</x:v>
      </x:c>
      <x:c r="B26" s="30" t="str">
        <x:v>M7A</x:v>
      </x:c>
      <x:c r="C26" s="30" t="str">
        <x:v>5-9 Oct 2026</x:v>
      </x:c>
      <x:c r="D26" s="32" t="n">
        <x:v>20</x:v>
      </x:c>
      <x:c r="E26" s="30" t="str">
        <x:v>Teaching</x:v>
      </x:c>
      <x:c r="F26" s="30" t="str">
        <x:v>Ratio / Measures</x:v>
      </x:c>
      <x:c r="G26" s="30" t="str">
        <x:v>Unit 2 — Ratio, proportion &amp; measures</x:v>
      </x:c>
      <x:c r="H26" s="30" t="str">
        <x:v>2/10</x:v>
      </x:c>
      <x:c r="I26" s="30" t="str">
        <x:v>Compound measures and unit conversions (2/2)</x:v>
      </x:c>
      <x:c r="J26" s="30" t="str">
        <x:v>Part 2/2: Use speed, density and pressure; convert between length, area and volume units.</x:v>
      </x:c>
      <x:c r="K26" s="30" t="str"/>
      <x:c r="L26" s="30" t="str">
        <x:v>Book 2 · Number 8</x:v>
      </x:c>
      <x:c r="M26" s="30" t="str"/>
      <x:c r="N26" s="30"/>
      <x:c r="O26" s="30" t="str"/>
    </x:row>
    <x:row r="27" ht="26.399999618530273" hidden="0" customHeight="1">
      <x:c r="A27" s="30" t="str">
        <x:v>Michaelmas</x:v>
      </x:c>
      <x:c r="B27" s="30" t="str">
        <x:v>M7A</x:v>
      </x:c>
      <x:c r="C27" s="30" t="str">
        <x:v>5-9 Oct 2026</x:v>
      </x:c>
      <x:c r="D27" s="32" t="n">
        <x:v>21</x:v>
      </x:c>
      <x:c r="E27" s="30" t="str">
        <x:v>Teaching</x:v>
      </x:c>
      <x:c r="F27" s="30" t="str">
        <x:v>Ratio / Measures</x:v>
      </x:c>
      <x:c r="G27" s="30" t="str">
        <x:v>Unit 2 — Ratio, proportion &amp; measures</x:v>
      </x:c>
      <x:c r="H27" s="30" t="str">
        <x:v>3/10</x:v>
      </x:c>
      <x:c r="I27" s="30" t="str">
        <x:v>Distance-time and speed-time graphs (1/2)</x:v>
      </x:c>
      <x:c r="J27" s="30" t="str">
        <x:v>Part 1/2: Interpret distance-time and speed-time graphs, using gradient and area ideas.</x:v>
      </x:c>
      <x:c r="K27" s="30" t="str"/>
      <x:c r="L27" s="30" t="str">
        <x:v>Book 1 · Graphs 3</x:v>
      </x:c>
      <x:c r="M27" s="30" t="str"/>
      <x:c r="N27" s="30"/>
      <x:c r="O27" s="30" t="str"/>
    </x:row>
    <x:row r="28" ht="26.399999618530273" hidden="0" customHeight="1">
      <x:c r="A28" s="30" t="str">
        <x:v>Michaelmas</x:v>
      </x:c>
      <x:c r="B28" s="30" t="str">
        <x:v>M7A</x:v>
      </x:c>
      <x:c r="C28" s="30" t="str">
        <x:v>5-9 Oct 2026</x:v>
      </x:c>
      <x:c r="D28" s="32" t="n">
        <x:v>22</x:v>
      </x:c>
      <x:c r="E28" s="30" t="str">
        <x:v>Teaching</x:v>
      </x:c>
      <x:c r="F28" s="30" t="str">
        <x:v>Ratio / Measures</x:v>
      </x:c>
      <x:c r="G28" s="30" t="str">
        <x:v>Unit 2 — Ratio, proportion &amp; measures</x:v>
      </x:c>
      <x:c r="H28" s="30" t="str">
        <x:v>4/10</x:v>
      </x:c>
      <x:c r="I28" s="30" t="str">
        <x:v>Distance-time and speed-time graphs (2/2)</x:v>
      </x:c>
      <x:c r="J28" s="30" t="str">
        <x:v>Part 2/2: Interpret distance-time and speed-time graphs, using gradient and area ideas.</x:v>
      </x:c>
      <x:c r="K28" s="30" t="str"/>
      <x:c r="L28" s="30" t="str">
        <x:v>Book 1 · Graphs 3</x:v>
      </x:c>
      <x:c r="M28" s="30" t="str"/>
      <x:c r="N28" s="30"/>
      <x:c r="O28" s="30" t="str"/>
    </x:row>
    <x:row r="29" ht="15" hidden="0" customHeight="1">
      <x:c r="A29" s="30" t="str">
        <x:v>Michaelmas</x:v>
      </x:c>
      <x:c r="B29" s="30" t="str">
        <x:v>M7A</x:v>
      </x:c>
      <x:c r="C29" s="30" t="str">
        <x:v>5-9 Oct 2026</x:v>
      </x:c>
      <x:c r="D29" s="32" t="n">
        <x:v>23</x:v>
      </x:c>
      <x:c r="E29" s="30" t="str">
        <x:v>Teaching</x:v>
      </x:c>
      <x:c r="F29" s="30" t="str">
        <x:v>Ratio / Measures</x:v>
      </x:c>
      <x:c r="G29" s="30" t="str">
        <x:v>Unit 2 — Ratio, proportion &amp; measures</x:v>
      </x:c>
      <x:c r="H29" s="30" t="str">
        <x:v>5/10</x:v>
      </x:c>
      <x:c r="I29" s="30" t="str">
        <x:v>Fractional and negative indices</x:v>
      </x:c>
      <x:c r="J29" s="30" t="str">
        <x:v>Evaluate fractional and negative powers and apply index laws.</x:v>
      </x:c>
      <x:c r="K29" s="30" t="str"/>
      <x:c r="L29" s="30" t="str">
        <x:v>Book 2 · Number 6</x:v>
      </x:c>
      <x:c r="M29" s="30" t="str"/>
      <x:c r="N29" s="30"/>
      <x:c r="O29" s="30" t="str"/>
    </x:row>
    <x:row r="30" ht="26.399999618530273" hidden="0" customHeight="1">
      <x:c r="A30" s="30" t="str">
        <x:v>Michaelmas</x:v>
      </x:c>
      <x:c r="B30" s="30" t="str">
        <x:v>M8B</x:v>
      </x:c>
      <x:c r="C30" s="30" t="str">
        <x:v>12-16 Oct 2026</x:v>
      </x:c>
      <x:c r="D30" s="32" t="n">
        <x:v>24</x:v>
      </x:c>
      <x:c r="E30" s="30" t="str">
        <x:v>Teaching</x:v>
      </x:c>
      <x:c r="F30" s="30" t="str">
        <x:v>Ratio / Measures</x:v>
      </x:c>
      <x:c r="G30" s="30" t="str">
        <x:v>Unit 2 — Ratio, proportion &amp; measures</x:v>
      </x:c>
      <x:c r="H30" s="30" t="str">
        <x:v>6/10</x:v>
      </x:c>
      <x:c r="I30" s="30" t="str">
        <x:v>Direct proportion — numerical, algebraic and graphical (1/2)</x:v>
      </x:c>
      <x:c r="J30" s="30" t="str">
        <x:v>Part 1/2: Recognise direct proportion; use y=kx; solve numerical and graphical problems.</x:v>
      </x:c>
      <x:c r="K30" s="30" t="str"/>
      <x:c r="L30" s="30" t="str">
        <x:v>Book 2 · Number 6 / Algebra 6</x:v>
      </x:c>
      <x:c r="M30" s="30" t="str"/>
      <x:c r="N30" s="30"/>
      <x:c r="O30" s="30" t="str">
        <x:v>No new unit starts in final pre-break weeks.</x:v>
      </x:c>
    </x:row>
    <x:row r="31" ht="26.399999618530273" hidden="0" customHeight="1">
      <x:c r="A31" s="30" t="str">
        <x:v>Michaelmas</x:v>
      </x:c>
      <x:c r="B31" s="30" t="str">
        <x:v>M8B</x:v>
      </x:c>
      <x:c r="C31" s="30" t="str">
        <x:v>12-16 Oct 2026</x:v>
      </x:c>
      <x:c r="D31" s="32" t="n">
        <x:v>25</x:v>
      </x:c>
      <x:c r="E31" s="30" t="str">
        <x:v>Teaching</x:v>
      </x:c>
      <x:c r="F31" s="30" t="str">
        <x:v>Ratio / Measures</x:v>
      </x:c>
      <x:c r="G31" s="30" t="str">
        <x:v>Unit 2 — Ratio, proportion &amp; measures</x:v>
      </x:c>
      <x:c r="H31" s="30" t="str">
        <x:v>7/10</x:v>
      </x:c>
      <x:c r="I31" s="30" t="str">
        <x:v>Direct proportion — numerical, algebraic and graphical (2/2)</x:v>
      </x:c>
      <x:c r="J31" s="30" t="str">
        <x:v>Part 2/2: Recognise direct proportion; use y=kx; solve numerical and graphical problems.</x:v>
      </x:c>
      <x:c r="K31" s="30" t="str"/>
      <x:c r="L31" s="30" t="str">
        <x:v>Book 2 · Number 6 / Algebra 6</x:v>
      </x:c>
      <x:c r="M31" s="30" t="str"/>
      <x:c r="N31" s="30"/>
      <x:c r="O31" s="30" t="str">
        <x:v>No new unit starts in final pre-break weeks.</x:v>
      </x:c>
    </x:row>
    <x:row r="32" ht="26.399999618530273" hidden="0" customHeight="1">
      <x:c r="A32" s="30" t="str">
        <x:v>Michaelmas</x:v>
      </x:c>
      <x:c r="B32" s="30"/>
      <x:c r="C32" s="30" t="str">
        <x:v>19-23 Oct 2026</x:v>
      </x:c>
      <x:c r="D32" s="32"/>
      <x:c r="E32" s="30" t="str">
        <x:v>School Break</x:v>
      </x:c>
      <x:c r="F32" s="30"/>
      <x:c r="G32" s="30"/>
      <x:c r="H32" s="30"/>
      <x:c r="I32" s="30" t="str">
        <x:v>Michaelmas Half-term</x:v>
      </x:c>
      <x:c r="J32" s="30" t="str">
        <x:v>Full school break inserted for teacher visibility.</x:v>
      </x:c>
      <x:c r="K32" s="30"/>
      <x:c r="L32" s="30" t="str">
        <x:v>School calendar</x:v>
      </x:c>
      <x:c r="M32" s="30"/>
      <x:c r="N32" s="30"/>
      <x:c r="O32" s="30" t="str">
        <x:v>Full-week break / no timetabled Mathematics</x:v>
      </x:c>
    </x:row>
    <x:row r="33" ht="26.399999618530273" hidden="0" customHeight="1">
      <x:c r="A33" s="30" t="str">
        <x:v>Michaelmas</x:v>
      </x:c>
      <x:c r="B33" s="30" t="str">
        <x:v>M9A</x:v>
      </x:c>
      <x:c r="C33" s="30" t="str">
        <x:v>26-30 Oct 2026</x:v>
      </x:c>
      <x:c r="D33" s="32" t="n">
        <x:v>26</x:v>
      </x:c>
      <x:c r="E33" s="30" t="str">
        <x:v>Teaching</x:v>
      </x:c>
      <x:c r="F33" s="30" t="str">
        <x:v>Ratio / Measures</x:v>
      </x:c>
      <x:c r="G33" s="30" t="str">
        <x:v>Unit 2 — Ratio, proportion &amp; measures</x:v>
      </x:c>
      <x:c r="H33" s="30" t="str">
        <x:v>8/10</x:v>
      </x:c>
      <x:c r="I33" s="30" t="str">
        <x:v>Inverse proportion — numerical, algebraic and graphical (1/2)</x:v>
      </x:c>
      <x:c r="J33" s="30" t="str">
        <x:v>Part 1/2: Recognise inverse proportion; use y=k/x; solve problems and interpret reciprocal graphs.</x:v>
      </x:c>
      <x:c r="K33" s="30" t="str"/>
      <x:c r="L33" s="30" t="str">
        <x:v>Book 2 · Number 6 / Algebra 6</x:v>
      </x:c>
      <x:c r="M33" s="30" t="str"/>
      <x:c r="N33" s="30"/>
      <x:c r="O33" s="30" t="str"/>
    </x:row>
    <x:row r="34" ht="26.399999618530273" hidden="0" customHeight="1">
      <x:c r="A34" s="30" t="str">
        <x:v>Michaelmas</x:v>
      </x:c>
      <x:c r="B34" s="30" t="str">
        <x:v>M9A</x:v>
      </x:c>
      <x:c r="C34" s="30" t="str">
        <x:v>26-30 Oct 2026</x:v>
      </x:c>
      <x:c r="D34" s="32" t="n">
        <x:v>27</x:v>
      </x:c>
      <x:c r="E34" s="30" t="str">
        <x:v>Teaching</x:v>
      </x:c>
      <x:c r="F34" s="30" t="str">
        <x:v>Ratio / Measures</x:v>
      </x:c>
      <x:c r="G34" s="30" t="str">
        <x:v>Unit 2 — Ratio, proportion &amp; measures</x:v>
      </x:c>
      <x:c r="H34" s="30" t="str">
        <x:v>9/10</x:v>
      </x:c>
      <x:c r="I34" s="30" t="str">
        <x:v>Inverse proportion — numerical, algebraic and graphical (2/2)</x:v>
      </x:c>
      <x:c r="J34" s="30" t="str">
        <x:v>Part 2/2: Recognise inverse proportion; use y=k/x; solve problems and interpret reciprocal graphs.</x:v>
      </x:c>
      <x:c r="K34" s="30" t="str"/>
      <x:c r="L34" s="30" t="str">
        <x:v>Book 2 · Number 6 / Algebra 6</x:v>
      </x:c>
      <x:c r="M34" s="30" t="str"/>
      <x:c r="N34" s="30"/>
      <x:c r="O34" s="30" t="str"/>
    </x:row>
    <x:row r="35" ht="39.599998474121094" hidden="0" customHeight="1">
      <x:c r="A35" s="30" t="str">
        <x:v>Michaelmas</x:v>
      </x:c>
      <x:c r="B35" s="30" t="str">
        <x:v>M9A</x:v>
      </x:c>
      <x:c r="C35" s="30" t="str">
        <x:v>26-30 Oct 2026</x:v>
      </x:c>
      <x:c r="D35" s="32" t="n">
        <x:v>28</x:v>
      </x:c>
      <x:c r="E35" s="30" t="str">
        <x:v>Review</x:v>
      </x:c>
      <x:c r="F35" s="30" t="str">
        <x:v>Ratio / Measures</x:v>
      </x:c>
      <x:c r="G35" s="30" t="str">
        <x:v>Unit 2 — Ratio, proportion &amp; measures</x:v>
      </x:c>
      <x:c r="H35" s="30" t="str">
        <x:v>10/10</x:v>
      </x:c>
      <x:c r="I35" s="30" t="str">
        <x:v>Ratio, proportion and measures consolidation</x:v>
      </x:c>
      <x:c r="J35" s="30" t="str">
        <x:v>Mixed problem-solving across compound measures and proportion.</x:v>
      </x:c>
      <x:c r="K35" s="30" t="str">
        <x:v>Group by need from recent exit tickets. Include stretch pathway for pupils ready for harder GCSE or problem-solving tasks.</x:v>
      </x:c>
      <x:c r="L35" s="30" t="str">
        <x:v>Y10 unit consolidation</x:v>
      </x:c>
      <x:c r="M35" s="30" t="str"/>
      <x:c r="N35" s="30"/>
      <x:c r="O35" s="30" t="str"/>
    </x:row>
    <x:row r="36" ht="39.599998474121094" hidden="0" customHeight="1">
      <x:c r="A36" s="30" t="str">
        <x:v>Michaelmas</x:v>
      </x:c>
      <x:c r="B36" s="30" t="str">
        <x:v>M9A</x:v>
      </x:c>
      <x:c r="C36" s="30" t="str">
        <x:v>26-30 Oct 2026</x:v>
      </x:c>
      <x:c r="D36" s="32" t="n">
        <x:v>29</x:v>
      </x:c>
      <x:c r="E36" s="30" t="str">
        <x:v>Unit Assessment</x:v>
      </x:c>
      <x:c r="F36" s="30" t="str">
        <x:v>Ratio / Measures</x:v>
      </x:c>
      <x:c r="G36" s="30" t="str">
        <x:v>Unit 2 — Ratio, proportion &amp; measures</x:v>
      </x:c>
      <x:c r="H36" s="30" t="str">
        <x:v>Assessment</x:v>
      </x:c>
      <x:c r="I36" s="30" t="str">
        <x:v>Unit 2 - Ratio, proportion &amp; measures assessment</x:v>
      </x:c>
      <x:c r="J36" s="30" t="str">
        <x:v>End-of-unit assessment for Unit 2 — Ratio, proportion &amp; measures. Use results to inform reteaching, intervention and reporting evidence.</x:v>
      </x:c>
      <x:c r="K36" s="30" t="str">
        <x:v>Use access arrangements and clear success criteria. Follow with targeted reteaching where class data shows common misconceptions.</x:v>
      </x:c>
      <x:c r="L36" s="30" t="str">
        <x:v>Unit 2 assessment</x:v>
      </x:c>
      <x:c r="M36" s="30" t="str">
        <x:v>Unit Assessment</x:v>
      </x:c>
      <x:c r="N36" s="30" t="str">
        <x:v>Unit 2 — Ratio, proportion &amp; measures</x:v>
      </x:c>
      <x:c r="O36" s="30" t="str"/>
    </x:row>
    <x:row r="37" ht="15" hidden="0" customHeight="1">
      <x:c r="A37" s="30" t="str">
        <x:v>Michaelmas</x:v>
      </x:c>
      <x:c r="B37" s="30" t="str">
        <x:v>M10B</x:v>
      </x:c>
      <x:c r="C37" s="30" t="str">
        <x:v>2-6 Nov 2026</x:v>
      </x:c>
      <x:c r="D37" s="32"/>
      <x:c r="E37" s="30" t="str">
        <x:v>Calendar Event</x:v>
      </x:c>
      <x:c r="F37" s="30"/>
      <x:c r="G37" s="30"/>
      <x:c r="H37" s="30"/>
      <x:c r="I37" s="30" t="str">
        <x:v>INTERIM REPORT 1 OPENS - Thu 5 Nov</x:v>
      </x:c>
      <x:c r="J37" s="30" t="str">
        <x:v>Yr 7-11 and 13 Interim Report 1 opens Thu 5 Nov.</x:v>
      </x:c>
      <x:c r="K37" s="30"/>
      <x:c r="L37" s="30"/>
      <x:c r="M37" s="30" t="str">
        <x:v>Report window</x:v>
      </x:c>
      <x:c r="N37" s="30"/>
      <x:c r="O37" s="30" t="str">
        <x:v>Placed in the academic-calendar week</x:v>
      </x:c>
    </x:row>
    <x:row r="38" ht="52.79999923706055" hidden="0" customHeight="1">
      <x:c r="A38" s="30" t="str">
        <x:v>Michaelmas</x:v>
      </x:c>
      <x:c r="B38" s="30" t="str">
        <x:v>M10B</x:v>
      </x:c>
      <x:c r="C38" s="30" t="str">
        <x:v>2-6 Nov 2026</x:v>
      </x:c>
      <x:c r="D38" s="32" t="n">
        <x:v>30</x:v>
      </x:c>
      <x:c r="E38" s="30" t="str">
        <x:v>Teaching</x:v>
      </x:c>
      <x:c r="F38" s="30" t="str">
        <x:v>Algebra / Graphs</x:v>
      </x:c>
      <x:c r="G38" s="30" t="str">
        <x:v>Unit 3 — Linear algebra + straight-line graphs</x:v>
      </x:c>
      <x:c r="H38" s="30" t="str">
        <x:v>1/10</x:v>
      </x:c>
      <x:c r="I38" s="30" t="str">
        <x:v>Expressions, formulae and index laws</x:v>
      </x:c>
      <x:c r="J38" s="30" t="str">
        <x:v>Collect terms, expand brackets, substitute and apply index laws algebraically.</x:v>
      </x:c>
      <x:c r="K38" s="30" t="str">
        <x:v>Top set: use GCSE extension questions, proof prompts and non-routine contexts. Scaffold with retrieval starters and worked-example fading where needed.</x:v>
      </x:c>
      <x:c r="L38" s="30" t="str">
        <x:v>Book 1 · Algebra 1/2</x:v>
      </x:c>
      <x:c r="M38" s="30" t="str"/>
      <x:c r="N38" s="30"/>
      <x:c r="O38" s="30" t="str"/>
    </x:row>
    <x:row r="39" ht="52.79999923706055" hidden="0" customHeight="1">
      <x:c r="A39" s="30" t="str">
        <x:v>Michaelmas</x:v>
      </x:c>
      <x:c r="B39" s="30" t="str">
        <x:v>M10B</x:v>
      </x:c>
      <x:c r="C39" s="30" t="str">
        <x:v>2-6 Nov 2026</x:v>
      </x:c>
      <x:c r="D39" s="32" t="n">
        <x:v>31</x:v>
      </x:c>
      <x:c r="E39" s="30" t="str">
        <x:v>Teaching</x:v>
      </x:c>
      <x:c r="F39" s="30" t="str">
        <x:v>Algebra / Graphs</x:v>
      </x:c>
      <x:c r="G39" s="30" t="str">
        <x:v>Unit 3 — Linear algebra + straight-line graphs</x:v>
      </x:c>
      <x:c r="H39" s="30" t="str">
        <x:v>2/10</x:v>
      </x:c>
      <x:c r="I39" s="30" t="str">
        <x:v>Linear equations to straight-line graphs (1/2)</x:v>
      </x:c>
      <x:c r="J39" s="30" t="str">
        <x:v>Part 1/2: Solve linear equations; plot y=mx+c; identify gradient and intercept.</x:v>
      </x:c>
      <x:c r="K39" s="30" t="str">
        <x:v>Top set: use GCSE extension questions, proof prompts and non-routine contexts. Scaffold with retrieval starters and worked-example fading where needed.</x:v>
      </x:c>
      <x:c r="L39" s="30" t="str">
        <x:v>Book 1 · Algebra 1 / Graphs 1-2</x:v>
      </x:c>
      <x:c r="M39" s="30" t="str"/>
      <x:c r="N39" s="30"/>
      <x:c r="O39" s="30" t="str"/>
    </x:row>
    <x:row r="40" ht="52.79999923706055" hidden="0" customHeight="1">
      <x:c r="A40" s="30" t="str">
        <x:v>Michaelmas</x:v>
      </x:c>
      <x:c r="B40" s="30" t="str">
        <x:v>M10B</x:v>
      </x:c>
      <x:c r="C40" s="30" t="str">
        <x:v>2-6 Nov 2026</x:v>
      </x:c>
      <x:c r="D40" s="32" t="n">
        <x:v>32</x:v>
      </x:c>
      <x:c r="E40" s="30" t="str">
        <x:v>Teaching</x:v>
      </x:c>
      <x:c r="F40" s="30" t="str">
        <x:v>Algebra / Graphs</x:v>
      </x:c>
      <x:c r="G40" s="30" t="str">
        <x:v>Unit 3 — Linear algebra + straight-line graphs</x:v>
      </x:c>
      <x:c r="H40" s="30" t="str">
        <x:v>3/10</x:v>
      </x:c>
      <x:c r="I40" s="30" t="str">
        <x:v>Linear equations to straight-line graphs (2/2)</x:v>
      </x:c>
      <x:c r="J40" s="30" t="str">
        <x:v>Part 2/2: Solve linear equations; plot y=mx+c; identify gradient and intercept.</x:v>
      </x:c>
      <x:c r="K40" s="30" t="str">
        <x:v>Top set: use GCSE extension questions, proof prompts and non-routine contexts. Scaffold with retrieval starters and worked-example fading where needed.</x:v>
      </x:c>
      <x:c r="L40" s="30" t="str">
        <x:v>Book 1 · Algebra 1 / Graphs 1-2</x:v>
      </x:c>
      <x:c r="M40" s="30" t="str"/>
      <x:c r="N40" s="30"/>
      <x:c r="O40" s="30" t="str"/>
    </x:row>
    <x:row r="41" ht="52.79999923706055" hidden="0" customHeight="1">
      <x:c r="A41" s="30" t="str">
        <x:v>Michaelmas</x:v>
      </x:c>
      <x:c r="B41" s="30" t="str">
        <x:v>M11A</x:v>
      </x:c>
      <x:c r="C41" s="30" t="str">
        <x:v>9-13 Nov 2026</x:v>
      </x:c>
      <x:c r="D41" s="32" t="n">
        <x:v>33</x:v>
      </x:c>
      <x:c r="E41" s="30" t="str">
        <x:v>Teaching</x:v>
      </x:c>
      <x:c r="F41" s="30" t="str">
        <x:v>Algebra / Graphs</x:v>
      </x:c>
      <x:c r="G41" s="30" t="str">
        <x:v>Unit 3 — Linear algebra + straight-line graphs</x:v>
      </x:c>
      <x:c r="H41" s="30" t="str">
        <x:v>4/10</x:v>
      </x:c>
      <x:c r="I41" s="30" t="str">
        <x:v>Midpoints and perpendicular lines (1/2)</x:v>
      </x:c>
      <x:c r="J41" s="30" t="str">
        <x:v>Part 1/2: Find midpoints; use perpendicular gradients; find equations of perpendicular lines.</x:v>
      </x:c>
      <x:c r="K41" s="30" t="str">
        <x:v>Top set: use GCSE extension questions, proof prompts and non-routine contexts. Scaffold with retrieval starters and worked-example fading where needed.</x:v>
      </x:c>
      <x:c r="L41" s="30" t="str">
        <x:v>Book 1 · Graphs 5</x:v>
      </x:c>
      <x:c r="M41" s="30" t="str"/>
      <x:c r="N41" s="30"/>
      <x:c r="O41" s="30" t="str"/>
    </x:row>
    <x:row r="42" ht="52.79999923706055" hidden="0" customHeight="1">
      <x:c r="A42" s="30" t="str">
        <x:v>Michaelmas</x:v>
      </x:c>
      <x:c r="B42" s="30" t="str">
        <x:v>M11A</x:v>
      </x:c>
      <x:c r="C42" s="30" t="str">
        <x:v>9-13 Nov 2026</x:v>
      </x:c>
      <x:c r="D42" s="32" t="n">
        <x:v>34</x:v>
      </x:c>
      <x:c r="E42" s="30" t="str">
        <x:v>Teaching</x:v>
      </x:c>
      <x:c r="F42" s="30" t="str">
        <x:v>Algebra / Graphs</x:v>
      </x:c>
      <x:c r="G42" s="30" t="str">
        <x:v>Unit 3 — Linear algebra + straight-line graphs</x:v>
      </x:c>
      <x:c r="H42" s="30" t="str">
        <x:v>5/10</x:v>
      </x:c>
      <x:c r="I42" s="30" t="str">
        <x:v>Midpoints and perpendicular lines (2/2)</x:v>
      </x:c>
      <x:c r="J42" s="30" t="str">
        <x:v>Part 2/2: Find midpoints; use perpendicular gradients; find equations of perpendicular lines.</x:v>
      </x:c>
      <x:c r="K42" s="30" t="str">
        <x:v>Top set: use GCSE extension questions, proof prompts and non-routine contexts. Scaffold with retrieval starters and worked-example fading where needed.</x:v>
      </x:c>
      <x:c r="L42" s="30" t="str">
        <x:v>Book 1 · Graphs 5</x:v>
      </x:c>
      <x:c r="M42" s="30" t="str"/>
      <x:c r="N42" s="30"/>
      <x:c r="O42" s="30" t="str"/>
    </x:row>
    <x:row r="43" ht="52.79999923706055" hidden="0" customHeight="1">
      <x:c r="A43" s="30" t="str">
        <x:v>Michaelmas</x:v>
      </x:c>
      <x:c r="B43" s="30" t="str">
        <x:v>M11A</x:v>
      </x:c>
      <x:c r="C43" s="30" t="str">
        <x:v>9-13 Nov 2026</x:v>
      </x:c>
      <x:c r="D43" s="32" t="n">
        <x:v>35</x:v>
      </x:c>
      <x:c r="E43" s="30" t="str">
        <x:v>Teaching</x:v>
      </x:c>
      <x:c r="F43" s="30" t="str">
        <x:v>Algebra / Graphs</x:v>
      </x:c>
      <x:c r="G43" s="30" t="str">
        <x:v>Unit 3 — Linear algebra + straight-line graphs</x:v>
      </x:c>
      <x:c r="H43" s="30" t="str">
        <x:v>6/10</x:v>
      </x:c>
      <x:c r="I43" s="30" t="str">
        <x:v>Simultaneous equations — algebraic and graphical (1/2)</x:v>
      </x:c>
      <x:c r="J43" s="30" t="str">
        <x:v>Part 1/2: Solve simultaneous equations by elimination/substitution and interpret graphically.</x:v>
      </x:c>
      <x:c r="K43" s="30" t="str">
        <x:v>Top set: use GCSE extension questions, proof prompts and non-routine contexts. Scaffold with retrieval starters and worked-example fading where needed.</x:v>
      </x:c>
      <x:c r="L43" s="30" t="str">
        <x:v>Book 1 · Algebra 3 / Graphs 2</x:v>
      </x:c>
      <x:c r="M43" s="30" t="str"/>
      <x:c r="N43" s="30"/>
      <x:c r="O43" s="30" t="str"/>
    </x:row>
    <x:row r="44" ht="52.79999923706055" hidden="0" customHeight="1">
      <x:c r="A44" s="30" t="str">
        <x:v>Michaelmas</x:v>
      </x:c>
      <x:c r="B44" s="30" t="str">
        <x:v>M11A</x:v>
      </x:c>
      <x:c r="C44" s="30" t="str">
        <x:v>9-13 Nov 2026</x:v>
      </x:c>
      <x:c r="D44" s="32" t="n">
        <x:v>36</x:v>
      </x:c>
      <x:c r="E44" s="30" t="str">
        <x:v>Teaching</x:v>
      </x:c>
      <x:c r="F44" s="30" t="str">
        <x:v>Algebra / Graphs</x:v>
      </x:c>
      <x:c r="G44" s="30" t="str">
        <x:v>Unit 3 — Linear algebra + straight-line graphs</x:v>
      </x:c>
      <x:c r="H44" s="30" t="str">
        <x:v>7/10</x:v>
      </x:c>
      <x:c r="I44" s="30" t="str">
        <x:v>Simultaneous equations — algebraic and graphical (2/2)</x:v>
      </x:c>
      <x:c r="J44" s="30" t="str">
        <x:v>Part 2/2: Solve simultaneous equations by elimination/substitution and interpret graphically.</x:v>
      </x:c>
      <x:c r="K44" s="30" t="str">
        <x:v>Top set: use GCSE extension questions, proof prompts and non-routine contexts. Scaffold with retrieval starters and worked-example fading where needed.</x:v>
      </x:c>
      <x:c r="L44" s="30" t="str">
        <x:v>Book 1 · Algebra 3 / Graphs 2</x:v>
      </x:c>
      <x:c r="M44" s="30" t="str"/>
      <x:c r="N44" s="30"/>
      <x:c r="O44" s="30" t="str"/>
    </x:row>
    <x:row r="45" ht="26.399999618530273" hidden="0" customHeight="1">
      <x:c r="A45" s="30" t="str">
        <x:v>Michaelmas</x:v>
      </x:c>
      <x:c r="B45" s="30" t="str">
        <x:v>M12B</x:v>
      </x:c>
      <x:c r="C45" s="30" t="str">
        <x:v>16-20 Nov 2026</x:v>
      </x:c>
      <x:c r="D45" s="32"/>
      <x:c r="E45" s="30" t="str">
        <x:v>Calendar Event</x:v>
      </x:c>
      <x:c r="F45" s="30"/>
      <x:c r="G45" s="30"/>
      <x:c r="H45" s="30"/>
      <x:c r="I45" s="30" t="str">
        <x:v>INTERIM REPORT 1 CLOSES - Tue 17 Nov</x:v>
      </x:c>
      <x:c r="J45" s="30" t="str">
        <x:v>Yr 7-11 and 13 IR1 closes Tue 17 Nov; reflection and HoD/HoF checking follow this week.</x:v>
      </x:c>
      <x:c r="K45" s="30"/>
      <x:c r="L45" s="30"/>
      <x:c r="M45" s="30" t="str">
        <x:v>Report window</x:v>
      </x:c>
      <x:c r="N45" s="30"/>
      <x:c r="O45" s="30" t="str">
        <x:v>Placed in the academic-calendar week</x:v>
      </x:c>
    </x:row>
    <x:row r="46" ht="52.79999923706055" hidden="0" customHeight="1">
      <x:c r="A46" s="30" t="str">
        <x:v>Michaelmas</x:v>
      </x:c>
      <x:c r="B46" s="30" t="str">
        <x:v>M12B</x:v>
      </x:c>
      <x:c r="C46" s="30" t="str">
        <x:v>16-20 Nov 2026</x:v>
      </x:c>
      <x:c r="D46" s="32" t="n">
        <x:v>37</x:v>
      </x:c>
      <x:c r="E46" s="30" t="str">
        <x:v>Teaching</x:v>
      </x:c>
      <x:c r="F46" s="30" t="str">
        <x:v>Algebra / Graphs</x:v>
      </x:c>
      <x:c r="G46" s="30" t="str">
        <x:v>Unit 3 — Linear algebra + straight-line graphs</x:v>
      </x:c>
      <x:c r="H46" s="30" t="str">
        <x:v>8/10</x:v>
      </x:c>
      <x:c r="I46" s="30" t="str">
        <x:v>Linear inequalities and graphical regions (1/2)</x:v>
      </x:c>
      <x:c r="J46" s="30" t="str">
        <x:v>Part 1/2: Solve linear inequalities; represent on number lines and graph regions.</x:v>
      </x:c>
      <x:c r="K46" s="30" t="str">
        <x:v>Top set: use GCSE extension questions, proof prompts and non-routine contexts. Scaffold with retrieval starters and worked-example fading where needed.</x:v>
      </x:c>
      <x:c r="L46" s="30" t="str">
        <x:v>Book 1 · Algebra 2 / Graphs 5</x:v>
      </x:c>
      <x:c r="M46" s="30" t="str"/>
      <x:c r="N46" s="30"/>
      <x:c r="O46" s="30" t="str"/>
    </x:row>
    <x:row r="47" ht="52.79999923706055" hidden="0" customHeight="1">
      <x:c r="A47" s="30" t="str">
        <x:v>Michaelmas</x:v>
      </x:c>
      <x:c r="B47" s="30" t="str">
        <x:v>M12B</x:v>
      </x:c>
      <x:c r="C47" s="30" t="str">
        <x:v>16-20 Nov 2026</x:v>
      </x:c>
      <x:c r="D47" s="32" t="n">
        <x:v>38</x:v>
      </x:c>
      <x:c r="E47" s="30" t="str">
        <x:v>Teaching</x:v>
      </x:c>
      <x:c r="F47" s="30" t="str">
        <x:v>Algebra / Graphs</x:v>
      </x:c>
      <x:c r="G47" s="30" t="str">
        <x:v>Unit 3 — Linear algebra + straight-line graphs</x:v>
      </x:c>
      <x:c r="H47" s="30" t="str">
        <x:v>9/10</x:v>
      </x:c>
      <x:c r="I47" s="30" t="str">
        <x:v>Linear inequalities and graphical regions (2/2)</x:v>
      </x:c>
      <x:c r="J47" s="30" t="str">
        <x:v>Part 2/2: Solve linear inequalities; represent on number lines and graph regions.</x:v>
      </x:c>
      <x:c r="K47" s="30" t="str">
        <x:v>Top set: use GCSE extension questions, proof prompts and non-routine contexts. Scaffold with retrieval starters and worked-example fading where needed.</x:v>
      </x:c>
      <x:c r="L47" s="30" t="str">
        <x:v>Book 1 · Algebra 2 / Graphs 5</x:v>
      </x:c>
      <x:c r="M47" s="30" t="str"/>
      <x:c r="N47" s="30"/>
      <x:c r="O47" s="30" t="str"/>
    </x:row>
    <x:row r="48" ht="39.599998474121094" hidden="0" customHeight="1">
      <x:c r="A48" s="30" t="str">
        <x:v>Michaelmas</x:v>
      </x:c>
      <x:c r="B48" s="30" t="str">
        <x:v>M12B</x:v>
      </x:c>
      <x:c r="C48" s="30" t="str">
        <x:v>16-20 Nov 2026</x:v>
      </x:c>
      <x:c r="D48" s="32" t="n">
        <x:v>39</x:v>
      </x:c>
      <x:c r="E48" s="30" t="str">
        <x:v>Review</x:v>
      </x:c>
      <x:c r="F48" s="30" t="str">
        <x:v>Algebra / Graphs</x:v>
      </x:c>
      <x:c r="G48" s="30" t="str">
        <x:v>Unit 3 — Linear algebra + straight-line graphs</x:v>
      </x:c>
      <x:c r="H48" s="30" t="str">
        <x:v>10/10</x:v>
      </x:c>
      <x:c r="I48" s="30" t="str">
        <x:v>Linear algebra and graphs consolidation</x:v>
      </x:c>
      <x:c r="J48" s="30" t="str">
        <x:v>Mixed exam-style questions linking algebraic and graphical representations.</x:v>
      </x:c>
      <x:c r="K48" s="30" t="str">
        <x:v>Group by need from recent exit tickets. Include stretch pathway for pupils ready for harder GCSE or problem-solving tasks.</x:v>
      </x:c>
      <x:c r="L48" s="30" t="str">
        <x:v>Y10 unit consolidation</x:v>
      </x:c>
      <x:c r="M48" s="30" t="str"/>
      <x:c r="N48" s="30"/>
      <x:c r="O48" s="30" t="str"/>
    </x:row>
    <x:row r="49" ht="39.599998474121094" hidden="0" customHeight="1">
      <x:c r="A49" s="30" t="str">
        <x:v>Michaelmas</x:v>
      </x:c>
      <x:c r="B49" s="30" t="str">
        <x:v>M13A</x:v>
      </x:c>
      <x:c r="C49" s="30" t="str">
        <x:v>23-27 Nov 2026</x:v>
      </x:c>
      <x:c r="D49" s="32" t="n">
        <x:v>40</x:v>
      </x:c>
      <x:c r="E49" s="30" t="str">
        <x:v>Unit Assessment</x:v>
      </x:c>
      <x:c r="F49" s="30" t="str">
        <x:v>Algebra / Graphs</x:v>
      </x:c>
      <x:c r="G49" s="30" t="str">
        <x:v>Unit 3 — Linear algebra + straight-line graphs</x:v>
      </x:c>
      <x:c r="H49" s="30" t="str">
        <x:v>Assessment</x:v>
      </x:c>
      <x:c r="I49" s="30" t="str">
        <x:v>Unit 3 - Linear algebra + straight-line graphs assessment</x:v>
      </x:c>
      <x:c r="J49" s="30" t="str">
        <x:v>End-of-unit assessment for Unit 3 — Linear algebra + straight-line graphs. Use results to inform reteaching, intervention and reporting evidence.</x:v>
      </x:c>
      <x:c r="K49" s="30" t="str">
        <x:v>Use access arrangements and clear success criteria. Follow with targeted reteaching where class data shows common misconceptions.</x:v>
      </x:c>
      <x:c r="L49" s="30" t="str">
        <x:v>Unit 3 assessment</x:v>
      </x:c>
      <x:c r="M49" s="30" t="str">
        <x:v>Unit Assessment</x:v>
      </x:c>
      <x:c r="N49" s="30" t="str">
        <x:v>Unit 3 — Linear algebra + straight-line graphs</x:v>
      </x:c>
      <x:c r="O49" s="30" t="str"/>
    </x:row>
    <x:row r="50" ht="26.399999618530273" hidden="0" customHeight="1">
      <x:c r="A50" s="30" t="str">
        <x:v>Michaelmas</x:v>
      </x:c>
      <x:c r="B50" s="30" t="str">
        <x:v>M13A</x:v>
      </x:c>
      <x:c r="C50" s="30" t="str">
        <x:v>23-27 Nov 2026</x:v>
      </x:c>
      <x:c r="D50" s="32" t="n">
        <x:v>41</x:v>
      </x:c>
      <x:c r="E50" s="30" t="str">
        <x:v>Teaching</x:v>
      </x:c>
      <x:c r="F50" s="30" t="str">
        <x:v>Sequences</x:v>
      </x:c>
      <x:c r="G50" s="30" t="str">
        <x:v>Unit 4 — Sequences (complete)</x:v>
      </x:c>
      <x:c r="H50" s="30" t="str">
        <x:v>1/9</x:v>
      </x:c>
      <x:c r="I50" s="30" t="str">
        <x:v>Sequences — term-to-term, formulae and difference method (1/2)</x:v>
      </x:c>
      <x:c r="J50" s="30" t="str">
        <x:v>Part 1/2: Generate sequences; derive formulae; use first differences.</x:v>
      </x:c>
      <x:c r="K50" s="30" t="str"/>
      <x:c r="L50" s="30" t="str">
        <x:v>Book 2 · Sequences</x:v>
      </x:c>
      <x:c r="M50" s="30" t="str"/>
      <x:c r="N50" s="30"/>
      <x:c r="O50" s="30" t="str"/>
    </x:row>
    <x:row r="51" ht="26.399999618530273" hidden="0" customHeight="1">
      <x:c r="A51" s="30" t="str">
        <x:v>Michaelmas</x:v>
      </x:c>
      <x:c r="B51" s="30" t="str">
        <x:v>M13A</x:v>
      </x:c>
      <x:c r="C51" s="30" t="str">
        <x:v>23-27 Nov 2026</x:v>
      </x:c>
      <x:c r="D51" s="32" t="n">
        <x:v>42</x:v>
      </x:c>
      <x:c r="E51" s="30" t="str">
        <x:v>Teaching</x:v>
      </x:c>
      <x:c r="F51" s="30" t="str">
        <x:v>Sequences</x:v>
      </x:c>
      <x:c r="G51" s="30" t="str">
        <x:v>Unit 4 — Sequences (complete)</x:v>
      </x:c>
      <x:c r="H51" s="30" t="str">
        <x:v>2/9</x:v>
      </x:c>
      <x:c r="I51" s="30" t="str">
        <x:v>Sequences — term-to-term, formulae and difference method (2/2)</x:v>
      </x:c>
      <x:c r="J51" s="30" t="str">
        <x:v>Part 2/2: Generate sequences; derive formulae; use first differences.</x:v>
      </x:c>
      <x:c r="K51" s="30" t="str"/>
      <x:c r="L51" s="30" t="str">
        <x:v>Book 2 · Sequences</x:v>
      </x:c>
      <x:c r="M51" s="30" t="str"/>
      <x:c r="N51" s="30"/>
      <x:c r="O51" s="30" t="str"/>
    </x:row>
    <x:row r="52" ht="26.399999618530273" hidden="0" customHeight="1">
      <x:c r="A52" s="30" t="str">
        <x:v>Michaelmas</x:v>
      </x:c>
      <x:c r="B52" s="30" t="str">
        <x:v>M13A</x:v>
      </x:c>
      <x:c r="C52" s="30" t="str">
        <x:v>23-27 Nov 2026</x:v>
      </x:c>
      <x:c r="D52" s="32" t="n">
        <x:v>43</x:v>
      </x:c>
      <x:c r="E52" s="30" t="str">
        <x:v>Teaching</x:v>
      </x:c>
      <x:c r="F52" s="30" t="str">
        <x:v>Sequences</x:v>
      </x:c>
      <x:c r="G52" s="30" t="str">
        <x:v>Unit 4 — Sequences (complete)</x:v>
      </x:c>
      <x:c r="H52" s="30" t="str">
        <x:v>3/9</x:v>
      </x:c>
      <x:c r="I52" s="30" t="str">
        <x:v>Arithmetic sequences — nth term (1/2)</x:v>
      </x:c>
      <x:c r="J52" s="30" t="str">
        <x:v>Part 1/2: Use a+(n-1)d; find first term and common difference; test membership.</x:v>
      </x:c>
      <x:c r="K52" s="30" t="str"/>
      <x:c r="L52" s="30" t="str">
        <x:v>Book 2 · Sequences</x:v>
      </x:c>
      <x:c r="M52" s="30" t="str"/>
      <x:c r="N52" s="30"/>
      <x:c r="O52" s="30" t="str"/>
    </x:row>
    <x:row r="53" ht="15" hidden="0" customHeight="1">
      <x:c r="A53" s="30" t="str">
        <x:v>Michaelmas</x:v>
      </x:c>
      <x:c r="B53" s="30" t="str">
        <x:v>M14B</x:v>
      </x:c>
      <x:c r="C53" s="30" t="str">
        <x:v>30 Nov-4 Dec 2026</x:v>
      </x:c>
      <x:c r="D53" s="32"/>
      <x:c r="E53" s="30" t="str">
        <x:v>Calendar Event</x:v>
      </x:c>
      <x:c r="F53" s="30"/>
      <x:c r="G53" s="30"/>
      <x:c r="H53" s="30"/>
      <x:c r="I53" s="30" t="str">
        <x:v>INTERIM REPORT 1 PUBLISHES - Thu 3 Dec</x:v>
      </x:c>
      <x:c r="J53" s="30" t="str">
        <x:v>Yr 7-11 and 13 Interim Report 1 publishes Thu 3 Dec.</x:v>
      </x:c>
      <x:c r="K53" s="30"/>
      <x:c r="L53" s="30"/>
      <x:c r="M53" s="30" t="str">
        <x:v>Report window</x:v>
      </x:c>
      <x:c r="N53" s="30"/>
      <x:c r="O53" s="30" t="str">
        <x:v>Placed in the academic-calendar week</x:v>
      </x:c>
    </x:row>
    <x:row r="54" ht="26.399999618530273" hidden="0" customHeight="1">
      <x:c r="A54" s="30" t="str">
        <x:v>Michaelmas</x:v>
      </x:c>
      <x:c r="B54" s="30" t="str">
        <x:v>M14B</x:v>
      </x:c>
      <x:c r="C54" s="30" t="str">
        <x:v>30 Nov-4 Dec 2026</x:v>
      </x:c>
      <x:c r="D54" s="32" t="n">
        <x:v>44</x:v>
      </x:c>
      <x:c r="E54" s="30" t="str">
        <x:v>Teaching</x:v>
      </x:c>
      <x:c r="F54" s="30" t="str">
        <x:v>Sequences</x:v>
      </x:c>
      <x:c r="G54" s="30" t="str">
        <x:v>Unit 4 — Sequences (complete)</x:v>
      </x:c>
      <x:c r="H54" s="30" t="str">
        <x:v>4/9</x:v>
      </x:c>
      <x:c r="I54" s="30" t="str">
        <x:v>Arithmetic sequences — nth term (2/2)</x:v>
      </x:c>
      <x:c r="J54" s="30" t="str">
        <x:v>Part 2/2: Use a+(n-1)d; find first term and common difference; test membership.</x:v>
      </x:c>
      <x:c r="K54" s="30" t="str"/>
      <x:c r="L54" s="30" t="str">
        <x:v>Book 2 · Sequences</x:v>
      </x:c>
      <x:c r="M54" s="30" t="str"/>
      <x:c r="N54" s="30"/>
      <x:c r="O54" s="30" t="str"/>
    </x:row>
    <x:row r="55" ht="26.399999618530273" hidden="0" customHeight="1">
      <x:c r="A55" s="30" t="str">
        <x:v>Michaelmas</x:v>
      </x:c>
      <x:c r="B55" s="30" t="str">
        <x:v>M14B</x:v>
      </x:c>
      <x:c r="C55" s="30" t="str">
        <x:v>30 Nov-4 Dec 2026</x:v>
      </x:c>
      <x:c r="D55" s="32" t="n">
        <x:v>45</x:v>
      </x:c>
      <x:c r="E55" s="30" t="str">
        <x:v>Teaching</x:v>
      </x:c>
      <x:c r="F55" s="30" t="str">
        <x:v>Sequences</x:v>
      </x:c>
      <x:c r="G55" s="30" t="str">
        <x:v>Unit 4 — Sequences (complete)</x:v>
      </x:c>
      <x:c r="H55" s="30" t="str">
        <x:v>5/9</x:v>
      </x:c>
      <x:c r="I55" s="30" t="str">
        <x:v>Quadratic sequences (1/2)</x:v>
      </x:c>
      <x:c r="J55" s="30" t="str">
        <x:v>Part 1/2: Use second differences and first-difference sequences to find quadratic nth terms.</x:v>
      </x:c>
      <x:c r="K55" s="30" t="str"/>
      <x:c r="L55" s="30" t="str">
        <x:v>Book 2 · Sequences</x:v>
      </x:c>
      <x:c r="M55" s="30" t="str"/>
      <x:c r="N55" s="30"/>
      <x:c r="O55" s="30" t="str"/>
    </x:row>
    <x:row r="56" ht="26.399999618530273" hidden="0" customHeight="1">
      <x:c r="A56" s="30" t="str">
        <x:v>Michaelmas</x:v>
      </x:c>
      <x:c r="B56" s="30" t="str">
        <x:v>M14B</x:v>
      </x:c>
      <x:c r="C56" s="30" t="str">
        <x:v>30 Nov-4 Dec 2026</x:v>
      </x:c>
      <x:c r="D56" s="32" t="n">
        <x:v>46</x:v>
      </x:c>
      <x:c r="E56" s="30" t="str">
        <x:v>Teaching</x:v>
      </x:c>
      <x:c r="F56" s="30" t="str">
        <x:v>Sequences</x:v>
      </x:c>
      <x:c r="G56" s="30" t="str">
        <x:v>Unit 4 — Sequences (complete)</x:v>
      </x:c>
      <x:c r="H56" s="30" t="str">
        <x:v>6/9</x:v>
      </x:c>
      <x:c r="I56" s="30" t="str">
        <x:v>Quadratic sequences (2/2)</x:v>
      </x:c>
      <x:c r="J56" s="30" t="str">
        <x:v>Part 2/2: Use second differences and first-difference sequences to find quadratic nth terms.</x:v>
      </x:c>
      <x:c r="K56" s="30" t="str"/>
      <x:c r="L56" s="30" t="str">
        <x:v>Book 2 · Sequences</x:v>
      </x:c>
      <x:c r="M56" s="30" t="str"/>
      <x:c r="N56" s="30"/>
      <x:c r="O56" s="30" t="str"/>
    </x:row>
    <x:row r="57" ht="15" hidden="0" customHeight="1">
      <x:c r="A57" s="30" t="str">
        <x:v>Michaelmas</x:v>
      </x:c>
      <x:c r="B57" s="30" t="str">
        <x:v>M15A</x:v>
      </x:c>
      <x:c r="C57" s="30" t="str">
        <x:v>7-11 Dec 2026</x:v>
      </x:c>
      <x:c r="D57" s="32" t="n">
        <x:v>47</x:v>
      </x:c>
      <x:c r="E57" s="30" t="str">
        <x:v>Teaching</x:v>
      </x:c>
      <x:c r="F57" s="30" t="str">
        <x:v>Sequences</x:v>
      </x:c>
      <x:c r="G57" s="30" t="str">
        <x:v>Unit 4 — Sequences (complete)</x:v>
      </x:c>
      <x:c r="H57" s="30" t="str">
        <x:v>7/9</x:v>
      </x:c>
      <x:c r="I57" s="30" t="str">
        <x:v>Sum of an arithmetic series (1/2)</x:v>
      </x:c>
      <x:c r="J57" s="30" t="str">
        <x:v>Part 1/2: Use and interpret Sn=n/2(2a+(n-1)d) in problems.</x:v>
      </x:c>
      <x:c r="K57" s="30" t="str"/>
      <x:c r="L57" s="30" t="str">
        <x:v>Book 2 · Sequences</x:v>
      </x:c>
      <x:c r="M57" s="30" t="str"/>
      <x:c r="N57" s="30"/>
      <x:c r="O57" s="30" t="str"/>
    </x:row>
    <x:row r="58" ht="15" hidden="0" customHeight="1">
      <x:c r="A58" s="30" t="str">
        <x:v>Michaelmas</x:v>
      </x:c>
      <x:c r="B58" s="30" t="str">
        <x:v>M15A</x:v>
      </x:c>
      <x:c r="C58" s="30" t="str">
        <x:v>7-11 Dec 2026</x:v>
      </x:c>
      <x:c r="D58" s="32" t="n">
        <x:v>48</x:v>
      </x:c>
      <x:c r="E58" s="30" t="str">
        <x:v>Teaching</x:v>
      </x:c>
      <x:c r="F58" s="30" t="str">
        <x:v>Sequences</x:v>
      </x:c>
      <x:c r="G58" s="30" t="str">
        <x:v>Unit 4 — Sequences (complete)</x:v>
      </x:c>
      <x:c r="H58" s="30" t="str">
        <x:v>8/9</x:v>
      </x:c>
      <x:c r="I58" s="30" t="str">
        <x:v>Sum of an arithmetic series (2/2)</x:v>
      </x:c>
      <x:c r="J58" s="30" t="str">
        <x:v>Part 2/2: Use and interpret Sn=n/2(2a+(n-1)d) in problems.</x:v>
      </x:c>
      <x:c r="K58" s="30" t="str"/>
      <x:c r="L58" s="30" t="str">
        <x:v>Book 2 · Sequences</x:v>
      </x:c>
      <x:c r="M58" s="30" t="str"/>
      <x:c r="N58" s="30"/>
      <x:c r="O58" s="30" t="str"/>
    </x:row>
    <x:row r="59" ht="39.599998474121094" hidden="0" customHeight="1">
      <x:c r="A59" s="30" t="str">
        <x:v>Michaelmas</x:v>
      </x:c>
      <x:c r="B59" s="30" t="str">
        <x:v>M16B</x:v>
      </x:c>
      <x:c r="C59" s="30" t="str">
        <x:v>14-16 Dec 2026</x:v>
      </x:c>
      <x:c r="D59" s="32" t="n">
        <x:v>49</x:v>
      </x:c>
      <x:c r="E59" s="30" t="str">
        <x:v>Review</x:v>
      </x:c>
      <x:c r="F59" s="30" t="str">
        <x:v>Sequences</x:v>
      </x:c>
      <x:c r="G59" s="30" t="str">
        <x:v>Unit 4 — Sequences (complete)</x:v>
      </x:c>
      <x:c r="H59" s="30" t="str">
        <x:v>9/9</x:v>
      </x:c>
      <x:c r="I59" s="30" t="str">
        <x:v>Sequences consolidation</x:v>
      </x:c>
      <x:c r="J59" s="30" t="str">
        <x:v>Mixed sequence and arithmetic-series exam practice.</x:v>
      </x:c>
      <x:c r="K59" s="30" t="str">
        <x:v>Group by need from recent exit tickets. Include stretch pathway for pupils ready for harder GCSE or problem-solving tasks.</x:v>
      </x:c>
      <x:c r="L59" s="30" t="str">
        <x:v>Book 2 · Sequences</x:v>
      </x:c>
      <x:c r="M59" s="30" t="str"/>
      <x:c r="N59" s="30"/>
      <x:c r="O59" s="30" t="str">
        <x:v>No new unit starts in final pre-break weeks.</x:v>
      </x:c>
    </x:row>
    <x:row r="60" ht="39.599998474121094" hidden="0" customHeight="1">
      <x:c r="A60" s="30" t="str">
        <x:v>Michaelmas</x:v>
      </x:c>
      <x:c r="B60" s="30" t="str">
        <x:v>M16B</x:v>
      </x:c>
      <x:c r="C60" s="30" t="str">
        <x:v>14-16 Dec 2026</x:v>
      </x:c>
      <x:c r="D60" s="32" t="n">
        <x:v>50</x:v>
      </x:c>
      <x:c r="E60" s="30" t="str">
        <x:v>Unit Assessment</x:v>
      </x:c>
      <x:c r="F60" s="30" t="str">
        <x:v>Sequences</x:v>
      </x:c>
      <x:c r="G60" s="30" t="str">
        <x:v>Unit 4 — Sequences (complete)</x:v>
      </x:c>
      <x:c r="H60" s="30" t="str">
        <x:v>Assessment</x:v>
      </x:c>
      <x:c r="I60" s="30" t="str">
        <x:v>Unit 4 - Sequences (complete) assessment</x:v>
      </x:c>
      <x:c r="J60" s="30" t="str">
        <x:v>End-of-unit assessment for Unit 4 — Sequences (complete). Use results to inform reteaching, intervention and reporting evidence.</x:v>
      </x:c>
      <x:c r="K60" s="30" t="str">
        <x:v>Use access arrangements and clear success criteria. Follow with targeted reteaching where class data shows common misconceptions.</x:v>
      </x:c>
      <x:c r="L60" s="30" t="str">
        <x:v>Unit 4 assessment</x:v>
      </x:c>
      <x:c r="M60" s="30" t="str">
        <x:v>Unit Assessment</x:v>
      </x:c>
      <x:c r="N60" s="30" t="str">
        <x:v>Unit 4 — Sequences (complete)</x:v>
      </x:c>
      <x:c r="O60" s="30" t="str">
        <x:v>No new unit starts in final pre-break weeks.</x:v>
      </x:c>
    </x:row>
    <x:row r="61" ht="26.399999618530273" hidden="0" customHeight="1">
      <x:c r="A61" s="30" t="str">
        <x:v>Michaelmas</x:v>
      </x:c>
      <x:c r="B61" s="30"/>
      <x:c r="C61" s="30" t="str">
        <x:v>17 Dec 2026-6 Jan 2027</x:v>
      </x:c>
      <x:c r="D61" s="32"/>
      <x:c r="E61" s="30" t="str">
        <x:v>School Break</x:v>
      </x:c>
      <x:c r="F61" s="30"/>
      <x:c r="G61" s="30"/>
      <x:c r="H61" s="30"/>
      <x:c r="I61" s="30" t="str">
        <x:v>Christmas / End of Michaelmas</x:v>
      </x:c>
      <x:c r="J61" s="30" t="str">
        <x:v>Term ends Wed 16 Dec. Lent term starts Thu 7 Jan after INSET Wed 6 Jan.</x:v>
      </x:c>
      <x:c r="K61" s="30"/>
      <x:c r="L61" s="30" t="str">
        <x:v>School calendar</x:v>
      </x:c>
      <x:c r="M61" s="30"/>
      <x:c r="N61" s="30"/>
      <x:c r="O61" s="30" t="str">
        <x:v>Full-week break / no timetabled Mathematics</x:v>
      </x:c>
    </x:row>
    <x:row r="62" ht="52.79999923706055" hidden="0" customHeight="1">
      <x:c r="A62" s="30" t="str">
        <x:v>Lent</x:v>
      </x:c>
      <x:c r="B62" s="30" t="str">
        <x:v>L1A</x:v>
      </x:c>
      <x:c r="C62" s="30" t="str">
        <x:v>7-8 Jan 2027</x:v>
      </x:c>
      <x:c r="D62" s="32" t="n">
        <x:v>51</x:v>
      </x:c>
      <x:c r="E62" s="30" t="str">
        <x:v>Teaching</x:v>
      </x:c>
      <x:c r="F62" s="30" t="str">
        <x:v>Algebra / Quadratics</x:v>
      </x:c>
      <x:c r="G62" s="30" t="str">
        <x:v>Unit 5 — Quadratics &amp; formulae (complete)</x:v>
      </x:c>
      <x:c r="H62" s="30" t="str">
        <x:v>1/12</x:v>
      </x:c>
      <x:c r="I62" s="30" t="str">
        <x:v>Expanding double brackets and factorising a=1 (1/2)</x:v>
      </x:c>
      <x:c r="J62" s="30" t="str">
        <x:v>Part 1/2: Expand double brackets and factorise monic quadratics; link inverse processes.</x:v>
      </x:c>
      <x:c r="K62" s="30" t="str">
        <x:v>Top set: use GCSE extension questions, proof prompts and non-routine contexts. Scaffold with retrieval starters and worked-example fading where needed.</x:v>
      </x:c>
      <x:c r="L62" s="30" t="str">
        <x:v>Book 1 · Algebra 5</x:v>
      </x:c>
      <x:c r="M62" s="30" t="str"/>
      <x:c r="N62" s="30"/>
      <x:c r="O62" s="30" t="str"/>
    </x:row>
    <x:row r="63" ht="52.79999923706055" hidden="0" customHeight="1">
      <x:c r="A63" s="30" t="str">
        <x:v>Lent</x:v>
      </x:c>
      <x:c r="B63" s="30" t="str">
        <x:v>L1A</x:v>
      </x:c>
      <x:c r="C63" s="30" t="str">
        <x:v>7-8 Jan 2027</x:v>
      </x:c>
      <x:c r="D63" s="32" t="n">
        <x:v>52</x:v>
      </x:c>
      <x:c r="E63" s="30" t="str">
        <x:v>Teaching</x:v>
      </x:c>
      <x:c r="F63" s="30" t="str">
        <x:v>Algebra / Quadratics</x:v>
      </x:c>
      <x:c r="G63" s="30" t="str">
        <x:v>Unit 5 — Quadratics &amp; formulae (complete)</x:v>
      </x:c>
      <x:c r="H63" s="30" t="str">
        <x:v>2/12</x:v>
      </x:c>
      <x:c r="I63" s="30" t="str">
        <x:v>Expanding double brackets and factorising a=1 (2/2)</x:v>
      </x:c>
      <x:c r="J63" s="30" t="str">
        <x:v>Part 2/2: Expand double brackets and factorise monic quadratics; link inverse processes.</x:v>
      </x:c>
      <x:c r="K63" s="30" t="str">
        <x:v>Top set: use GCSE extension questions, proof prompts and non-routine contexts. Scaffold with retrieval starters and worked-example fading where needed.</x:v>
      </x:c>
      <x:c r="L63" s="30" t="str">
        <x:v>Book 1 · Algebra 5</x:v>
      </x:c>
      <x:c r="M63" s="30" t="str"/>
      <x:c r="N63" s="30"/>
      <x:c r="O63" s="30" t="str"/>
    </x:row>
    <x:row r="64" ht="52.79999923706055" hidden="0" customHeight="1">
      <x:c r="A64" s="30" t="str">
        <x:v>Lent</x:v>
      </x:c>
      <x:c r="B64" s="30" t="str">
        <x:v>L2B</x:v>
      </x:c>
      <x:c r="C64" s="30" t="str">
        <x:v>11-15 Jan 2027</x:v>
      </x:c>
      <x:c r="D64" s="32" t="n">
        <x:v>53</x:v>
      </x:c>
      <x:c r="E64" s="30" t="str">
        <x:v>Teaching</x:v>
      </x:c>
      <x:c r="F64" s="30" t="str">
        <x:v>Algebra / Quadratics</x:v>
      </x:c>
      <x:c r="G64" s="30" t="str">
        <x:v>Unit 5 — Quadratics &amp; formulae (complete)</x:v>
      </x:c>
      <x:c r="H64" s="30" t="str">
        <x:v>3/12</x:v>
      </x:c>
      <x:c r="I64" s="30" t="str">
        <x:v>Factorising a&gt;1, difference of two squares and grouping (1/2)</x:v>
      </x:c>
      <x:c r="J64" s="30" t="str">
        <x:v>Part 1/2: Factorise harder quadratics, difference of two squares and by grouping.</x:v>
      </x:c>
      <x:c r="K64" s="30" t="str">
        <x:v>Top set: use GCSE extension questions, proof prompts and non-routine contexts. Scaffold with retrieval starters and worked-example fading where needed.</x:v>
      </x:c>
      <x:c r="L64" s="30" t="str">
        <x:v>Book 1 · Algebra 5 / Algebra 3</x:v>
      </x:c>
      <x:c r="M64" s="30" t="str"/>
      <x:c r="N64" s="30"/>
      <x:c r="O64" s="30" t="str"/>
    </x:row>
    <x:row r="65" ht="52.79999923706055" hidden="0" customHeight="1">
      <x:c r="A65" s="30" t="str">
        <x:v>Lent</x:v>
      </x:c>
      <x:c r="B65" s="30" t="str">
        <x:v>L2B</x:v>
      </x:c>
      <x:c r="C65" s="30" t="str">
        <x:v>11-15 Jan 2027</x:v>
      </x:c>
      <x:c r="D65" s="32" t="n">
        <x:v>54</x:v>
      </x:c>
      <x:c r="E65" s="30" t="str">
        <x:v>Teaching</x:v>
      </x:c>
      <x:c r="F65" s="30" t="str">
        <x:v>Algebra / Quadratics</x:v>
      </x:c>
      <x:c r="G65" s="30" t="str">
        <x:v>Unit 5 — Quadratics &amp; formulae (complete)</x:v>
      </x:c>
      <x:c r="H65" s="30" t="str">
        <x:v>4/12</x:v>
      </x:c>
      <x:c r="I65" s="30" t="str">
        <x:v>Factorising a&gt;1, difference of two squares and grouping (2/2)</x:v>
      </x:c>
      <x:c r="J65" s="30" t="str">
        <x:v>Part 2/2: Factorise harder quadratics, difference of two squares and by grouping.</x:v>
      </x:c>
      <x:c r="K65" s="30" t="str">
        <x:v>Top set: use GCSE extension questions, proof prompts and non-routine contexts. Scaffold with retrieval starters and worked-example fading where needed.</x:v>
      </x:c>
      <x:c r="L65" s="30" t="str">
        <x:v>Book 1 · Algebra 5 / Algebra 3</x:v>
      </x:c>
      <x:c r="M65" s="30" t="str"/>
      <x:c r="N65" s="30"/>
      <x:c r="O65" s="30" t="str"/>
    </x:row>
    <x:row r="66" ht="52.79999923706055" hidden="0" customHeight="1">
      <x:c r="A66" s="30" t="str">
        <x:v>Lent</x:v>
      </x:c>
      <x:c r="B66" s="30" t="str">
        <x:v>L2B</x:v>
      </x:c>
      <x:c r="C66" s="30" t="str">
        <x:v>11-15 Jan 2027</x:v>
      </x:c>
      <x:c r="D66" s="32" t="n">
        <x:v>55</x:v>
      </x:c>
      <x:c r="E66" s="30" t="str">
        <x:v>Teaching</x:v>
      </x:c>
      <x:c r="F66" s="30" t="str">
        <x:v>Algebra / Quadratics</x:v>
      </x:c>
      <x:c r="G66" s="30" t="str">
        <x:v>Unit 5 — Quadratics &amp; formulae (complete)</x:v>
      </x:c>
      <x:c r="H66" s="30" t="str">
        <x:v>5/12</x:v>
      </x:c>
      <x:c r="I66" s="30" t="str">
        <x:v>Solving quadratics by factorisation to graphical roots (1/2)</x:v>
      </x:c>
      <x:c r="J66" s="30" t="str">
        <x:v>Part 1/2: Solve quadratics by factorisation and connect roots to x-intercepts.</x:v>
      </x:c>
      <x:c r="K66" s="30" t="str">
        <x:v>Top set: use GCSE extension questions, proof prompts and non-routine contexts. Scaffold with retrieval starters and worked-example fading where needed.</x:v>
      </x:c>
      <x:c r="L66" s="30" t="str">
        <x:v>Book 1 · Algebra 5 / Graphs 4</x:v>
      </x:c>
      <x:c r="M66" s="30" t="str"/>
      <x:c r="N66" s="30"/>
      <x:c r="O66" s="30" t="str"/>
    </x:row>
    <x:row r="67" ht="15" hidden="0" customHeight="1">
      <x:c r="A67" s="30" t="str">
        <x:v>Lent</x:v>
      </x:c>
      <x:c r="B67" s="30" t="str">
        <x:v>L3A</x:v>
      </x:c>
      <x:c r="C67" s="30" t="str">
        <x:v>18-22 Jan 2027</x:v>
      </x:c>
      <x:c r="D67" s="32"/>
      <x:c r="E67" s="30" t="str">
        <x:v>Calendar Event</x:v>
      </x:c>
      <x:c r="F67" s="30"/>
      <x:c r="G67" s="30"/>
      <x:c r="H67" s="30"/>
      <x:c r="I67" s="30" t="str">
        <x:v>INTERIM REPORT 2 OPENS - Mon 18 Jan</x:v>
      </x:c>
      <x:c r="J67" s="30" t="str">
        <x:v>Yr 7-11 Interim Report 2 opens Mon 18 Jan. Year 9 PTC Thu 21 Jan.</x:v>
      </x:c>
      <x:c r="K67" s="30"/>
      <x:c r="L67" s="30"/>
      <x:c r="M67" s="30" t="str">
        <x:v>Report window</x:v>
      </x:c>
      <x:c r="N67" s="30"/>
      <x:c r="O67" s="30" t="str">
        <x:v>Placed in the academic-calendar week</x:v>
      </x:c>
    </x:row>
    <x:row r="68" ht="52.79999923706055" hidden="0" customHeight="1">
      <x:c r="A68" s="30" t="str">
        <x:v>Lent</x:v>
      </x:c>
      <x:c r="B68" s="30" t="str">
        <x:v>L3A</x:v>
      </x:c>
      <x:c r="C68" s="30" t="str">
        <x:v>18-22 Jan 2027</x:v>
      </x:c>
      <x:c r="D68" s="32" t="n">
        <x:v>56</x:v>
      </x:c>
      <x:c r="E68" s="30" t="str">
        <x:v>Teaching</x:v>
      </x:c>
      <x:c r="F68" s="30" t="str">
        <x:v>Algebra / Quadratics</x:v>
      </x:c>
      <x:c r="G68" s="30" t="str">
        <x:v>Unit 5 — Quadratics &amp; formulae (complete)</x:v>
      </x:c>
      <x:c r="H68" s="30" t="str">
        <x:v>6/12</x:v>
      </x:c>
      <x:c r="I68" s="30" t="str">
        <x:v>Solving quadratics by factorisation to graphical roots (2/2)</x:v>
      </x:c>
      <x:c r="J68" s="30" t="str">
        <x:v>Part 2/2: Solve quadratics by factorisation and connect roots to x-intercepts.</x:v>
      </x:c>
      <x:c r="K68" s="30" t="str">
        <x:v>Top set: use GCSE extension questions, proof prompts and non-routine contexts. Scaffold with retrieval starters and worked-example fading where needed.</x:v>
      </x:c>
      <x:c r="L68" s="30" t="str">
        <x:v>Book 1 · Algebra 5 / Graphs 4</x:v>
      </x:c>
      <x:c r="M68" s="30" t="str"/>
      <x:c r="N68" s="30"/>
      <x:c r="O68" s="30" t="str"/>
    </x:row>
    <x:row r="69" ht="52.79999923706055" hidden="0" customHeight="1">
      <x:c r="A69" s="30" t="str">
        <x:v>Lent</x:v>
      </x:c>
      <x:c r="B69" s="30" t="str">
        <x:v>L3A</x:v>
      </x:c>
      <x:c r="C69" s="30" t="str">
        <x:v>18-22 Jan 2027</x:v>
      </x:c>
      <x:c r="D69" s="32" t="n">
        <x:v>57</x:v>
      </x:c>
      <x:c r="E69" s="30" t="str">
        <x:v>Teaching</x:v>
      </x:c>
      <x:c r="F69" s="30" t="str">
        <x:v>Algebra / Quadratics</x:v>
      </x:c>
      <x:c r="G69" s="30" t="str">
        <x:v>Unit 5 — Quadratics &amp; formulae (complete)</x:v>
      </x:c>
      <x:c r="H69" s="30" t="str">
        <x:v>7/12</x:v>
      </x:c>
      <x:c r="I69" s="30" t="str">
        <x:v>Quadratic graph features and real-life problems (1/2)</x:v>
      </x:c>
      <x:c r="J69" s="30" t="str">
        <x:v>Part 1/2: Interpret vertex, symmetry and sign of coefficient; form and solve quadratic models.</x:v>
      </x:c>
      <x:c r="K69" s="30" t="str">
        <x:v>Top set: use GCSE extension questions, proof prompts and non-routine contexts. Scaffold with retrieval starters and worked-example fading where needed.</x:v>
      </x:c>
      <x:c r="L69" s="30" t="str">
        <x:v>Book 1 · Graphs 4 / Algebra 5</x:v>
      </x:c>
      <x:c r="M69" s="30" t="str"/>
      <x:c r="N69" s="30"/>
      <x:c r="O69" s="30" t="str"/>
    </x:row>
    <x:row r="70" ht="52.79999923706055" hidden="0" customHeight="1">
      <x:c r="A70" s="30" t="str">
        <x:v>Lent</x:v>
      </x:c>
      <x:c r="B70" s="30" t="str">
        <x:v>L3A</x:v>
      </x:c>
      <x:c r="C70" s="30" t="str">
        <x:v>18-22 Jan 2027</x:v>
      </x:c>
      <x:c r="D70" s="32" t="n">
        <x:v>58</x:v>
      </x:c>
      <x:c r="E70" s="30" t="str">
        <x:v>Teaching</x:v>
      </x:c>
      <x:c r="F70" s="30" t="str">
        <x:v>Algebra / Quadratics</x:v>
      </x:c>
      <x:c r="G70" s="30" t="str">
        <x:v>Unit 5 — Quadratics &amp; formulae (complete)</x:v>
      </x:c>
      <x:c r="H70" s="30" t="str">
        <x:v>8/12</x:v>
      </x:c>
      <x:c r="I70" s="30" t="str">
        <x:v>Quadratic graph features and real-life problems (2/2)</x:v>
      </x:c>
      <x:c r="J70" s="30" t="str">
        <x:v>Part 2/2: Interpret vertex, symmetry and sign of coefficient; form and solve quadratic models.</x:v>
      </x:c>
      <x:c r="K70" s="30" t="str">
        <x:v>Top set: use GCSE extension questions, proof prompts and non-routine contexts. Scaffold with retrieval starters and worked-example fading where needed.</x:v>
      </x:c>
      <x:c r="L70" s="30" t="str">
        <x:v>Book 1 · Graphs 4 / Algebra 5</x:v>
      </x:c>
      <x:c r="M70" s="30" t="str"/>
      <x:c r="N70" s="30"/>
      <x:c r="O70" s="30" t="str"/>
    </x:row>
    <x:row r="71" ht="52.79999923706055" hidden="0" customHeight="1">
      <x:c r="A71" s="30" t="str">
        <x:v>Lent</x:v>
      </x:c>
      <x:c r="B71" s="30" t="str">
        <x:v>L3A</x:v>
      </x:c>
      <x:c r="C71" s="30" t="str">
        <x:v>18-22 Jan 2027</x:v>
      </x:c>
      <x:c r="D71" s="32" t="n">
        <x:v>59</x:v>
      </x:c>
      <x:c r="E71" s="30" t="str">
        <x:v>Teaching</x:v>
      </x:c>
      <x:c r="F71" s="30" t="str">
        <x:v>Algebra / Quadratics</x:v>
      </x:c>
      <x:c r="G71" s="30" t="str">
        <x:v>Unit 5 — Quadratics &amp; formulae (complete)</x:v>
      </x:c>
      <x:c r="H71" s="30" t="str">
        <x:v>9/12</x:v>
      </x:c>
      <x:c r="I71" s="30" t="str">
        <x:v>Rearranging formulae — subject appears once</x:v>
      </x:c>
      <x:c r="J71" s="30" t="str">
        <x:v>Change the subject using inverse operations, including real-life formulae.</x:v>
      </x:c>
      <x:c r="K71" s="30" t="str">
        <x:v>Top set: use GCSE extension questions, proof prompts and non-routine contexts. Scaffold with retrieval starters and worked-example fading where needed.</x:v>
      </x:c>
      <x:c r="L71" s="30" t="str">
        <x:v>Book 1 · Algebra 4</x:v>
      </x:c>
      <x:c r="M71" s="30" t="str"/>
      <x:c r="N71" s="30"/>
      <x:c r="O71" s="30" t="str"/>
    </x:row>
    <x:row r="72" ht="26.399999618530273" hidden="0" customHeight="1">
      <x:c r="A72" s="30" t="str">
        <x:v>Lent</x:v>
      </x:c>
      <x:c r="B72" s="30" t="str">
        <x:v>L4B</x:v>
      </x:c>
      <x:c r="C72" s="30" t="str">
        <x:v>25-29 Jan 2027</x:v>
      </x:c>
      <x:c r="D72" s="32"/>
      <x:c r="E72" s="30" t="str">
        <x:v>Calendar Event</x:v>
      </x:c>
      <x:c r="F72" s="30"/>
      <x:c r="G72" s="30"/>
      <x:c r="H72" s="30"/>
      <x:c r="I72" s="30" t="str">
        <x:v>INTERIM REPORT 2 CLOSES - Thu 28 Jan</x:v>
      </x:c>
      <x:c r="J72" s="30" t="str">
        <x:v>Yr 7-11 Interim Report 2 closes Thu 28 Jan; reflections and HoD/HoF checks follow.</x:v>
      </x:c>
      <x:c r="K72" s="30"/>
      <x:c r="L72" s="30"/>
      <x:c r="M72" s="30" t="str">
        <x:v>Report window</x:v>
      </x:c>
      <x:c r="N72" s="30"/>
      <x:c r="O72" s="30" t="str">
        <x:v>Placed in the academic-calendar week</x:v>
      </x:c>
    </x:row>
    <x:row r="73" ht="52.79999923706055" hidden="0" customHeight="1">
      <x:c r="A73" s="30" t="str">
        <x:v>Lent</x:v>
      </x:c>
      <x:c r="B73" s="30" t="str">
        <x:v>L4B</x:v>
      </x:c>
      <x:c r="C73" s="30" t="str">
        <x:v>25-29 Jan 2027</x:v>
      </x:c>
      <x:c r="D73" s="32" t="n">
        <x:v>60</x:v>
      </x:c>
      <x:c r="E73" s="30" t="str">
        <x:v>Teaching</x:v>
      </x:c>
      <x:c r="F73" s="30" t="str">
        <x:v>Algebra / Quadratics</x:v>
      </x:c>
      <x:c r="G73" s="30" t="str">
        <x:v>Unit 5 — Quadratics &amp; formulae (complete)</x:v>
      </x:c>
      <x:c r="H73" s="30" t="str">
        <x:v>10/12</x:v>
      </x:c>
      <x:c r="I73" s="30" t="str">
        <x:v>Rearranging formulae — subject twice or under powers (1/2)</x:v>
      </x:c>
      <x:c r="J73" s="30" t="str">
        <x:v>Part 1/2: Rearrange formulae where the subject appears twice or under a power/root.</x:v>
      </x:c>
      <x:c r="K73" s="30" t="str">
        <x:v>Top set: use GCSE extension questions, proof prompts and non-routine contexts. Scaffold with retrieval starters and worked-example fading where needed.</x:v>
      </x:c>
      <x:c r="L73" s="30" t="str">
        <x:v>Book 1 · Algebra 4</x:v>
      </x:c>
      <x:c r="M73" s="30" t="str"/>
      <x:c r="N73" s="30"/>
      <x:c r="O73" s="30" t="str"/>
    </x:row>
    <x:row r="74" ht="52.79999923706055" hidden="0" customHeight="1">
      <x:c r="A74" s="30" t="str">
        <x:v>Lent</x:v>
      </x:c>
      <x:c r="B74" s="30" t="str">
        <x:v>L4B</x:v>
      </x:c>
      <x:c r="C74" s="30" t="str">
        <x:v>25-29 Jan 2027</x:v>
      </x:c>
      <x:c r="D74" s="32" t="n">
        <x:v>61</x:v>
      </x:c>
      <x:c r="E74" s="30" t="str">
        <x:v>Teaching</x:v>
      </x:c>
      <x:c r="F74" s="30" t="str">
        <x:v>Algebra / Quadratics</x:v>
      </x:c>
      <x:c r="G74" s="30" t="str">
        <x:v>Unit 5 — Quadratics &amp; formulae (complete)</x:v>
      </x:c>
      <x:c r="H74" s="30" t="str">
        <x:v>11/12</x:v>
      </x:c>
      <x:c r="I74" s="30" t="str">
        <x:v>Rearranging formulae — subject twice or under powers (2/2)</x:v>
      </x:c>
      <x:c r="J74" s="30" t="str">
        <x:v>Part 2/2: Rearrange formulae where the subject appears twice or under a power/root.</x:v>
      </x:c>
      <x:c r="K74" s="30" t="str">
        <x:v>Top set: use GCSE extension questions, proof prompts and non-routine contexts. Scaffold with retrieval starters and worked-example fading where needed.</x:v>
      </x:c>
      <x:c r="L74" s="30" t="str">
        <x:v>Book 1 · Algebra 4</x:v>
      </x:c>
      <x:c r="M74" s="30" t="str"/>
      <x:c r="N74" s="30"/>
      <x:c r="O74" s="30" t="str"/>
    </x:row>
    <x:row r="75" ht="39.599998474121094" hidden="0" customHeight="1">
      <x:c r="A75" s="30" t="str">
        <x:v>Lent</x:v>
      </x:c>
      <x:c r="B75" s="30" t="str">
        <x:v>L4B</x:v>
      </x:c>
      <x:c r="C75" s="30" t="str">
        <x:v>25-29 Jan 2027</x:v>
      </x:c>
      <x:c r="D75" s="32" t="n">
        <x:v>62</x:v>
      </x:c>
      <x:c r="E75" s="30" t="str">
        <x:v>Review</x:v>
      </x:c>
      <x:c r="F75" s="30" t="str">
        <x:v>Algebra / Quadratics</x:v>
      </x:c>
      <x:c r="G75" s="30" t="str">
        <x:v>Unit 5 — Quadratics &amp; formulae (complete)</x:v>
      </x:c>
      <x:c r="H75" s="30" t="str">
        <x:v>12/12</x:v>
      </x:c>
      <x:c r="I75" s="30" t="str">
        <x:v>Quadratics and formulae consolidation</x:v>
      </x:c>
      <x:c r="J75" s="30" t="str">
        <x:v>Mixed exam-style quadratics, graph and formulae practice.</x:v>
      </x:c>
      <x:c r="K75" s="30" t="str">
        <x:v>Group by need from recent exit tickets. Include stretch pathway for pupils ready for harder GCSE or problem-solving tasks.</x:v>
      </x:c>
      <x:c r="L75" s="30" t="str">
        <x:v>Y10 unit consolidation</x:v>
      </x:c>
      <x:c r="M75" s="30" t="str"/>
      <x:c r="N75" s="30"/>
      <x:c r="O75" s="30" t="str"/>
    </x:row>
    <x:row r="76" ht="52.79999923706055" hidden="0" customHeight="1">
      <x:c r="A76" s="30" t="str">
        <x:v>Lent</x:v>
      </x:c>
      <x:c r="B76" s="30" t="str">
        <x:v>L5A</x:v>
      </x:c>
      <x:c r="C76" s="30" t="str">
        <x:v>1-5 Feb 2027</x:v>
      </x:c>
      <x:c r="D76" s="32" t="n">
        <x:v>63</x:v>
      </x:c>
      <x:c r="E76" s="30" t="str">
        <x:v>Consolidation</x:v>
      </x:c>
      <x:c r="F76" s="30" t="str">
        <x:v>Algebra / Quadratics</x:v>
      </x:c>
      <x:c r="G76" s="30" t="str">
        <x:v>Unit 5 — Quadratics &amp; formulae (complete)</x:v>
      </x:c>
      <x:c r="H76" s="30" t="str">
        <x:v>Extension 1/5</x:v>
      </x:c>
      <x:c r="I76" s="30" t="str">
        <x:v>Quadratics and formulae depth practice 1/5</x:v>
      </x:c>
      <x:c r="J76" s="30" t="str">
        <x:v>Top-set extension and consolidation before the assessment: problem-solving, proof-style reasoning and mixed GCSE questions. This keeps the final pre-half-term week purposeful without starting a new unit.</x:v>
      </x:c>
      <x:c r="K76" s="30" t="str">
        <x:v>Group by need from recent exit tickets. Include stretch pathway for pupils ready for harder GCSE or problem-solving tasks.</x:v>
      </x:c>
      <x:c r="L76" s="30" t="str">
        <x:v>Teacher-created GCSE practice</x:v>
      </x:c>
      <x:c r="M76" s="30" t="str">
        <x:v>Formative</x:v>
      </x:c>
      <x:c r="N76" s="30" t="str">
        <x:v>Unit 5 — Quadratics &amp; formulae (complete)</x:v>
      </x:c>
      <x:c r="O76" s="30" t="str"/>
    </x:row>
    <x:row r="77" ht="52.79999923706055" hidden="0" customHeight="1">
      <x:c r="A77" s="30" t="str">
        <x:v>Lent</x:v>
      </x:c>
      <x:c r="B77" s="30" t="str">
        <x:v>L5A</x:v>
      </x:c>
      <x:c r="C77" s="30" t="str">
        <x:v>1-5 Feb 2027</x:v>
      </x:c>
      <x:c r="D77" s="32" t="n">
        <x:v>64</x:v>
      </x:c>
      <x:c r="E77" s="30" t="str">
        <x:v>Consolidation</x:v>
      </x:c>
      <x:c r="F77" s="30" t="str">
        <x:v>Algebra / Quadratics</x:v>
      </x:c>
      <x:c r="G77" s="30" t="str">
        <x:v>Unit 5 — Quadratics &amp; formulae (complete)</x:v>
      </x:c>
      <x:c r="H77" s="30" t="str">
        <x:v>Extension 2/5</x:v>
      </x:c>
      <x:c r="I77" s="30" t="str">
        <x:v>Quadratics and formulae depth practice 2/5</x:v>
      </x:c>
      <x:c r="J77" s="30" t="str">
        <x:v>Top-set extension and consolidation before the assessment: problem-solving, proof-style reasoning and mixed GCSE questions. This keeps the final pre-half-term week purposeful without starting a new unit.</x:v>
      </x:c>
      <x:c r="K77" s="30" t="str">
        <x:v>Group by need from recent exit tickets. Include stretch pathway for pupils ready for harder GCSE or problem-solving tasks.</x:v>
      </x:c>
      <x:c r="L77" s="30" t="str">
        <x:v>Teacher-created GCSE practice</x:v>
      </x:c>
      <x:c r="M77" s="30" t="str">
        <x:v>Formative</x:v>
      </x:c>
      <x:c r="N77" s="30" t="str">
        <x:v>Unit 5 — Quadratics &amp; formulae (complete)</x:v>
      </x:c>
      <x:c r="O77" s="30" t="str"/>
    </x:row>
    <x:row r="78" ht="52.79999923706055" hidden="0" customHeight="1">
      <x:c r="A78" s="30" t="str">
        <x:v>Lent</x:v>
      </x:c>
      <x:c r="B78" s="30" t="str">
        <x:v>L5A</x:v>
      </x:c>
      <x:c r="C78" s="30" t="str">
        <x:v>1-5 Feb 2027</x:v>
      </x:c>
      <x:c r="D78" s="32" t="n">
        <x:v>65</x:v>
      </x:c>
      <x:c r="E78" s="30" t="str">
        <x:v>Consolidation</x:v>
      </x:c>
      <x:c r="F78" s="30" t="str">
        <x:v>Algebra / Quadratics</x:v>
      </x:c>
      <x:c r="G78" s="30" t="str">
        <x:v>Unit 5 — Quadratics &amp; formulae (complete)</x:v>
      </x:c>
      <x:c r="H78" s="30" t="str">
        <x:v>Extension 3/5</x:v>
      </x:c>
      <x:c r="I78" s="30" t="str">
        <x:v>Quadratics and formulae depth practice 3/5</x:v>
      </x:c>
      <x:c r="J78" s="30" t="str">
        <x:v>Top-set extension and consolidation before the assessment: problem-solving, proof-style reasoning and mixed GCSE questions. This keeps the final pre-half-term week purposeful without starting a new unit.</x:v>
      </x:c>
      <x:c r="K78" s="30" t="str">
        <x:v>Group by need from recent exit tickets. Include stretch pathway for pupils ready for harder GCSE or problem-solving tasks.</x:v>
      </x:c>
      <x:c r="L78" s="30" t="str">
        <x:v>Teacher-created GCSE practice</x:v>
      </x:c>
      <x:c r="M78" s="30" t="str">
        <x:v>Formative</x:v>
      </x:c>
      <x:c r="N78" s="30" t="str">
        <x:v>Unit 5 — Quadratics &amp; formulae (complete)</x:v>
      </x:c>
      <x:c r="O78" s="30" t="str"/>
    </x:row>
    <x:row r="79" ht="52.79999923706055" hidden="0" customHeight="1">
      <x:c r="A79" s="30" t="str">
        <x:v>Lent</x:v>
      </x:c>
      <x:c r="B79" s="30" t="str">
        <x:v>L5A</x:v>
      </x:c>
      <x:c r="C79" s="30" t="str">
        <x:v>1-5 Feb 2027</x:v>
      </x:c>
      <x:c r="D79" s="32" t="n">
        <x:v>66</x:v>
      </x:c>
      <x:c r="E79" s="30" t="str">
        <x:v>Consolidation</x:v>
      </x:c>
      <x:c r="F79" s="30" t="str">
        <x:v>Algebra / Quadratics</x:v>
      </x:c>
      <x:c r="G79" s="30" t="str">
        <x:v>Unit 5 — Quadratics &amp; formulae (complete)</x:v>
      </x:c>
      <x:c r="H79" s="30" t="str">
        <x:v>Extension 4/5</x:v>
      </x:c>
      <x:c r="I79" s="30" t="str">
        <x:v>Quadratics and formulae depth practice 4/5</x:v>
      </x:c>
      <x:c r="J79" s="30" t="str">
        <x:v>Top-set extension and consolidation before the assessment: problem-solving, proof-style reasoning and mixed GCSE questions. This keeps the final pre-half-term week purposeful without starting a new unit.</x:v>
      </x:c>
      <x:c r="K79" s="30" t="str">
        <x:v>Group by need from recent exit tickets. Include stretch pathway for pupils ready for harder GCSE or problem-solving tasks.</x:v>
      </x:c>
      <x:c r="L79" s="30" t="str">
        <x:v>Teacher-created GCSE practice</x:v>
      </x:c>
      <x:c r="M79" s="30" t="str">
        <x:v>Formative</x:v>
      </x:c>
      <x:c r="N79" s="30" t="str">
        <x:v>Unit 5 — Quadratics &amp; formulae (complete)</x:v>
      </x:c>
      <x:c r="O79" s="30" t="str"/>
    </x:row>
    <x:row r="80" ht="15" hidden="0" customHeight="1">
      <x:c r="A80" s="30" t="str">
        <x:v>Lent</x:v>
      </x:c>
      <x:c r="B80" s="30" t="str">
        <x:v>L6B</x:v>
      </x:c>
      <x:c r="C80" s="30" t="str">
        <x:v>8-12 Feb 2027</x:v>
      </x:c>
      <x:c r="D80" s="32"/>
      <x:c r="E80" s="30" t="str">
        <x:v>Calendar Event</x:v>
      </x:c>
      <x:c r="F80" s="30"/>
      <x:c r="G80" s="30"/>
      <x:c r="H80" s="30"/>
      <x:c r="I80" s="30" t="str">
        <x:v>INTERIM REPORT 2 PUBLISHES - Wed 10 Feb</x:v>
      </x:c>
      <x:c r="J80" s="30" t="str">
        <x:v>Yr 7-11 Interim Report 2 publishes Wed 10 Feb.</x:v>
      </x:c>
      <x:c r="K80" s="30"/>
      <x:c r="L80" s="30"/>
      <x:c r="M80" s="30" t="str">
        <x:v>Report window</x:v>
      </x:c>
      <x:c r="N80" s="30"/>
      <x:c r="O80" s="30" t="str">
        <x:v>Placed in the academic-calendar week</x:v>
      </x:c>
    </x:row>
    <x:row r="81" ht="52.79999923706055" hidden="0" customHeight="1">
      <x:c r="A81" s="30" t="str">
        <x:v>Lent</x:v>
      </x:c>
      <x:c r="B81" s="30" t="str">
        <x:v>L6B</x:v>
      </x:c>
      <x:c r="C81" s="30" t="str">
        <x:v>8-12 Feb 2027</x:v>
      </x:c>
      <x:c r="D81" s="32" t="n">
        <x:v>67</x:v>
      </x:c>
      <x:c r="E81" s="30" t="str">
        <x:v>Consolidation</x:v>
      </x:c>
      <x:c r="F81" s="30" t="str">
        <x:v>Algebra / Quadratics</x:v>
      </x:c>
      <x:c r="G81" s="30" t="str">
        <x:v>Unit 5 — Quadratics &amp; formulae (complete)</x:v>
      </x:c>
      <x:c r="H81" s="30" t="str">
        <x:v>Extension 5/5</x:v>
      </x:c>
      <x:c r="I81" s="30" t="str">
        <x:v>Quadratics and formulae depth practice 5/5</x:v>
      </x:c>
      <x:c r="J81" s="30" t="str">
        <x:v>Top-set extension and consolidation before the assessment: problem-solving, proof-style reasoning and mixed GCSE questions. This keeps the final pre-half-term week purposeful without starting a new unit.</x:v>
      </x:c>
      <x:c r="K81" s="30" t="str">
        <x:v>Group by need from recent exit tickets. Include stretch pathway for pupils ready for harder GCSE or problem-solving tasks.</x:v>
      </x:c>
      <x:c r="L81" s="30" t="str">
        <x:v>Teacher-created GCSE practice</x:v>
      </x:c>
      <x:c r="M81" s="30" t="str">
        <x:v>Formative</x:v>
      </x:c>
      <x:c r="N81" s="30" t="str">
        <x:v>Unit 5 — Quadratics &amp; formulae (complete)</x:v>
      </x:c>
      <x:c r="O81" s="30" t="str">
        <x:v>No new unit starts in final pre-break weeks.</x:v>
      </x:c>
    </x:row>
    <x:row r="82" ht="39.599998474121094" hidden="0" customHeight="1">
      <x:c r="A82" s="30" t="str">
        <x:v>Lent</x:v>
      </x:c>
      <x:c r="B82" s="30" t="str">
        <x:v>L6B</x:v>
      </x:c>
      <x:c r="C82" s="30" t="str">
        <x:v>8-12 Feb 2027</x:v>
      </x:c>
      <x:c r="D82" s="32" t="n">
        <x:v>68</x:v>
      </x:c>
      <x:c r="E82" s="30" t="str">
        <x:v>Unit Assessment</x:v>
      </x:c>
      <x:c r="F82" s="30" t="str">
        <x:v>Algebra / Quadratics</x:v>
      </x:c>
      <x:c r="G82" s="30" t="str">
        <x:v>Unit 5 — Quadratics &amp; formulae (complete)</x:v>
      </x:c>
      <x:c r="H82" s="30" t="str">
        <x:v>Assessment</x:v>
      </x:c>
      <x:c r="I82" s="30" t="str">
        <x:v>Unit 5 - Quadratics &amp; formulae (complete) assessment</x:v>
      </x:c>
      <x:c r="J82" s="30" t="str">
        <x:v>End-of-unit assessment for Unit 5 — Quadratics &amp; formulae (complete). Use results to inform reteaching, intervention and reporting evidence.</x:v>
      </x:c>
      <x:c r="K82" s="30" t="str">
        <x:v>Use access arrangements and clear success criteria. Follow with targeted reteaching where class data shows common misconceptions.</x:v>
      </x:c>
      <x:c r="L82" s="30" t="str">
        <x:v>Unit 5 assessment</x:v>
      </x:c>
      <x:c r="M82" s="30" t="str">
        <x:v>Unit Assessment</x:v>
      </x:c>
      <x:c r="N82" s="30" t="str">
        <x:v>Unit 5 — Quadratics &amp; formulae (complete)</x:v>
      </x:c>
      <x:c r="O82" s="30" t="str">
        <x:v>No new unit starts in final pre-break weeks.</x:v>
      </x:c>
    </x:row>
    <x:row r="83" ht="39.599998474121094" hidden="0" customHeight="1">
      <x:c r="A83" s="30" t="str">
        <x:v>Lent</x:v>
      </x:c>
      <x:c r="B83" s="30" t="str">
        <x:v>L6B</x:v>
      </x:c>
      <x:c r="C83" s="30" t="str">
        <x:v>8-12 Feb 2027</x:v>
      </x:c>
      <x:c r="D83" s="32" t="n">
        <x:v>69</x:v>
      </x:c>
      <x:c r="E83" s="30" t="str">
        <x:v>Correction / Reflection</x:v>
      </x:c>
      <x:c r="F83" s="30" t="str">
        <x:v>Algebra / Quadratics</x:v>
      </x:c>
      <x:c r="G83" s="30" t="str">
        <x:v>Unit 5 — Quadratics &amp; formulae (complete)</x:v>
      </x:c>
      <x:c r="H83" s="30" t="str">
        <x:v>Reflection</x:v>
      </x:c>
      <x:c r="I83" s="30" t="str">
        <x:v>Unit 5 - Quadratics &amp; formulae (complete) assessment correction and reflection</x:v>
      </x:c>
      <x:c r="J83" s="30" t="str">
        <x:v>Review common misconceptions from the Unit 5 — Quadratics &amp; formulae (complete) assessment. Pupils correct errors, identify next steps and complete targeted practice.</x:v>
      </x:c>
      <x:c r="K83" s="30" t="str"/>
      <x:c r="L83" s="30" t="str">
        <x:v>Teacher-created feedback lesson</x:v>
      </x:c>
      <x:c r="M83" s="30" t="str">
        <x:v>Assessment feedback</x:v>
      </x:c>
      <x:c r="N83" s="30" t="str">
        <x:v>Unit 5 — Quadratics &amp; formulae (complete)</x:v>
      </x:c>
      <x:c r="O83" s="30" t="str">
        <x:v>No new unit starts in final pre-break weeks.</x:v>
      </x:c>
    </x:row>
    <x:row r="84" ht="26.399999618530273" hidden="0" customHeight="1">
      <x:c r="A84" s="30" t="str">
        <x:v>Lent</x:v>
      </x:c>
      <x:c r="B84" s="30"/>
      <x:c r="C84" s="30" t="str">
        <x:v>15-19 Feb 2027</x:v>
      </x:c>
      <x:c r="D84" s="32"/>
      <x:c r="E84" s="30" t="str">
        <x:v>School Break</x:v>
      </x:c>
      <x:c r="F84" s="30"/>
      <x:c r="G84" s="30"/>
      <x:c r="H84" s="30"/>
      <x:c r="I84" s="30" t="str">
        <x:v>Lent Half-term</x:v>
      </x:c>
      <x:c r="J84" s="30" t="str">
        <x:v>Full school break inserted for teacher visibility.</x:v>
      </x:c>
      <x:c r="K84" s="30"/>
      <x:c r="L84" s="30" t="str">
        <x:v>School calendar</x:v>
      </x:c>
      <x:c r="M84" s="30"/>
      <x:c r="N84" s="30"/>
      <x:c r="O84" s="30" t="str">
        <x:v>Full-week break / no timetabled Mathematics</x:v>
      </x:c>
    </x:row>
    <x:row r="85" ht="26.399999618530273" hidden="0" customHeight="1">
      <x:c r="A85" s="30" t="str">
        <x:v>Lent</x:v>
      </x:c>
      <x:c r="B85" s="30" t="str">
        <x:v>L7A</x:v>
      </x:c>
      <x:c r="C85" s="30" t="str">
        <x:v>22-26 Feb 2027</x:v>
      </x:c>
      <x:c r="D85" s="32"/>
      <x:c r="E85" s="30" t="str">
        <x:v>Off timetable</x:v>
      </x:c>
      <x:c r="F85" s="30"/>
      <x:c r="G85" s="30"/>
      <x:c r="H85" s="30"/>
      <x:c r="I85" s="30" t="str">
        <x:v>Adventure Week (Yr 7-9)</x:v>
      </x:c>
      <x:c r="J85" s="30" t="str">
        <x:v>Year 7-9 Adventure Week inserted for teacher visibility. No regular Mathematics teaching.</x:v>
      </x:c>
      <x:c r="K85" s="30"/>
      <x:c r="L85" s="30" t="str">
        <x:v>School calendar</x:v>
      </x:c>
      <x:c r="M85" s="30"/>
      <x:c r="N85" s="30"/>
      <x:c r="O85" s="30" t="str">
        <x:v>Off-timetable week / no regular Mathematics</x:v>
      </x:c>
    </x:row>
    <x:row r="86" ht="15" hidden="0" customHeight="1">
      <x:c r="A86" s="30" t="str">
        <x:v>Lent</x:v>
      </x:c>
      <x:c r="B86" s="30" t="str">
        <x:v>L8B</x:v>
      </x:c>
      <x:c r="C86" s="30" t="str">
        <x:v>1-5 Mar 2027</x:v>
      </x:c>
      <x:c r="D86" s="32"/>
      <x:c r="E86" s="30" t="str">
        <x:v>Calendar Event</x:v>
      </x:c>
      <x:c r="F86" s="30"/>
      <x:c r="G86" s="30"/>
      <x:c r="H86" s="30"/>
      <x:c r="I86" s="30" t="str">
        <x:v>INTERIM REPORT 3 OPENS - Mon 1 Mar</x:v>
      </x:c>
      <x:c r="J86" s="30" t="str">
        <x:v>Yr 7-10 and 12 Interim Report 3 opens Mon 1 Mar.</x:v>
      </x:c>
      <x:c r="K86" s="30"/>
      <x:c r="L86" s="30"/>
      <x:c r="M86" s="30" t="str">
        <x:v>Report window</x:v>
      </x:c>
      <x:c r="N86" s="30"/>
      <x:c r="O86" s="30" t="str">
        <x:v>Placed in the academic-calendar week</x:v>
      </x:c>
    </x:row>
    <x:row r="87" ht="26.399999618530273" hidden="0" customHeight="1">
      <x:c r="A87" s="30" t="str">
        <x:v>Lent</x:v>
      </x:c>
      <x:c r="B87" s="30" t="str">
        <x:v>L8B</x:v>
      </x:c>
      <x:c r="C87" s="30" t="str">
        <x:v>1-5 Mar 2027</x:v>
      </x:c>
      <x:c r="D87" s="32" t="n">
        <x:v>70</x:v>
      </x:c>
      <x:c r="E87" s="30" t="str">
        <x:v>Teaching</x:v>
      </x:c>
      <x:c r="F87" s="30" t="str">
        <x:v>Algebra</x:v>
      </x:c>
      <x:c r="G87" s="30" t="str">
        <x:v>Unit 6 — Algebraic fractions (complete)</x:v>
      </x:c>
      <x:c r="H87" s="30" t="str">
        <x:v>1/7</x:v>
      </x:c>
      <x:c r="I87" s="30" t="str">
        <x:v>Simplifying algebraic fractions (1/2)</x:v>
      </x:c>
      <x:c r="J87" s="30" t="str">
        <x:v>Part 1/2: Simplify algebraic fractions by factorising numerator and/or denominator.</x:v>
      </x:c>
      <x:c r="K87" s="30" t="str"/>
      <x:c r="L87" s="30" t="str">
        <x:v>Book 1 · Algebra 2/3; Book 2 · Algebra 10</x:v>
      </x:c>
      <x:c r="M87" s="30" t="str"/>
      <x:c r="N87" s="30"/>
      <x:c r="O87" s="30" t="str"/>
    </x:row>
    <x:row r="88" ht="26.399999618530273" hidden="0" customHeight="1">
      <x:c r="A88" s="30" t="str">
        <x:v>Lent</x:v>
      </x:c>
      <x:c r="B88" s="30" t="str">
        <x:v>L8B</x:v>
      </x:c>
      <x:c r="C88" s="30" t="str">
        <x:v>1-5 Mar 2027</x:v>
      </x:c>
      <x:c r="D88" s="32" t="n">
        <x:v>71</x:v>
      </x:c>
      <x:c r="E88" s="30" t="str">
        <x:v>Teaching</x:v>
      </x:c>
      <x:c r="F88" s="30" t="str">
        <x:v>Algebra</x:v>
      </x:c>
      <x:c r="G88" s="30" t="str">
        <x:v>Unit 6 — Algebraic fractions (complete)</x:v>
      </x:c>
      <x:c r="H88" s="30" t="str">
        <x:v>2/7</x:v>
      </x:c>
      <x:c r="I88" s="30" t="str">
        <x:v>Simplifying algebraic fractions (2/2)</x:v>
      </x:c>
      <x:c r="J88" s="30" t="str">
        <x:v>Part 2/2: Simplify algebraic fractions by factorising numerator and/or denominator.</x:v>
      </x:c>
      <x:c r="K88" s="30" t="str"/>
      <x:c r="L88" s="30" t="str">
        <x:v>Book 1 · Algebra 2/3; Book 2 · Algebra 10</x:v>
      </x:c>
      <x:c r="M88" s="30" t="str"/>
      <x:c r="N88" s="30"/>
      <x:c r="O88" s="30" t="str"/>
    </x:row>
    <x:row r="89" ht="26.399999618530273" hidden="0" customHeight="1">
      <x:c r="A89" s="30" t="str">
        <x:v>Lent</x:v>
      </x:c>
      <x:c r="B89" s="30" t="str">
        <x:v>L8B</x:v>
      </x:c>
      <x:c r="C89" s="30" t="str">
        <x:v>1-5 Mar 2027</x:v>
      </x:c>
      <x:c r="D89" s="32" t="n">
        <x:v>72</x:v>
      </x:c>
      <x:c r="E89" s="30" t="str">
        <x:v>Teaching</x:v>
      </x:c>
      <x:c r="F89" s="30" t="str">
        <x:v>Algebra</x:v>
      </x:c>
      <x:c r="G89" s="30" t="str">
        <x:v>Unit 6 — Algebraic fractions (complete)</x:v>
      </x:c>
      <x:c r="H89" s="30" t="str">
        <x:v>3/7</x:v>
      </x:c>
      <x:c r="I89" s="30" t="str">
        <x:v>Adding and subtracting algebraic fractions (1/2)</x:v>
      </x:c>
      <x:c r="J89" s="30" t="str">
        <x:v>Part 1/2: Find common denominators and add/subtract algebraic fractions.</x:v>
      </x:c>
      <x:c r="K89" s="30" t="str"/>
      <x:c r="L89" s="30" t="str">
        <x:v>Book 2 · Algebra 10</x:v>
      </x:c>
      <x:c r="M89" s="30" t="str"/>
      <x:c r="N89" s="30"/>
      <x:c r="O89" s="30" t="str"/>
    </x:row>
    <x:row r="90" ht="26.399999618530273" hidden="0" customHeight="1">
      <x:c r="A90" s="30" t="str">
        <x:v>Lent</x:v>
      </x:c>
      <x:c r="B90" s="30" t="str">
        <x:v>L9A</x:v>
      </x:c>
      <x:c r="C90" s="30" t="str">
        <x:v>8-12 Mar 2027</x:v>
      </x:c>
      <x:c r="D90" s="32"/>
      <x:c r="E90" s="30" t="str">
        <x:v>Calendar Event</x:v>
      </x:c>
      <x:c r="F90" s="30"/>
      <x:c r="G90" s="30"/>
      <x:c r="H90" s="30"/>
      <x:c r="I90" s="30" t="str">
        <x:v>INTERIM REPORT 3 CLOSES - Tue 9 Mar</x:v>
      </x:c>
      <x:c r="J90" s="30" t="str">
        <x:v>Yr 7-10 and 12 Interim Report 3 closes Tue 9 Mar; student reflection Wed 10 Mar; HoD/HoF checks Fri 12 Mar.</x:v>
      </x:c>
      <x:c r="K90" s="30"/>
      <x:c r="L90" s="30"/>
      <x:c r="M90" s="30" t="str">
        <x:v>Report window</x:v>
      </x:c>
      <x:c r="N90" s="30"/>
      <x:c r="O90" s="30" t="str">
        <x:v>Placed in the academic-calendar week</x:v>
      </x:c>
    </x:row>
    <x:row r="91" ht="26.399999618530273" hidden="0" customHeight="1">
      <x:c r="A91" s="30" t="str">
        <x:v>Lent</x:v>
      </x:c>
      <x:c r="B91" s="30" t="str">
        <x:v>L9A</x:v>
      </x:c>
      <x:c r="C91" s="30" t="str">
        <x:v>8-12 Mar 2027</x:v>
      </x:c>
      <x:c r="D91" s="32" t="n">
        <x:v>73</x:v>
      </x:c>
      <x:c r="E91" s="30" t="str">
        <x:v>Teaching</x:v>
      </x:c>
      <x:c r="F91" s="30" t="str">
        <x:v>Algebra</x:v>
      </x:c>
      <x:c r="G91" s="30" t="str">
        <x:v>Unit 6 — Algebraic fractions (complete)</x:v>
      </x:c>
      <x:c r="H91" s="30" t="str">
        <x:v>4/7</x:v>
      </x:c>
      <x:c r="I91" s="30" t="str">
        <x:v>Adding and subtracting algebraic fractions (2/2)</x:v>
      </x:c>
      <x:c r="J91" s="30" t="str">
        <x:v>Part 2/2: Find common denominators and add/subtract algebraic fractions.</x:v>
      </x:c>
      <x:c r="K91" s="30" t="str"/>
      <x:c r="L91" s="30" t="str">
        <x:v>Book 2 · Algebra 10</x:v>
      </x:c>
      <x:c r="M91" s="30" t="str"/>
      <x:c r="N91" s="30"/>
      <x:c r="O91" s="30" t="str"/>
    </x:row>
    <x:row r="92" ht="26.399999618530273" hidden="0" customHeight="1">
      <x:c r="A92" s="30" t="str">
        <x:v>Lent</x:v>
      </x:c>
      <x:c r="B92" s="30" t="str">
        <x:v>L9A</x:v>
      </x:c>
      <x:c r="C92" s="30" t="str">
        <x:v>8-12 Mar 2027</x:v>
      </x:c>
      <x:c r="D92" s="32" t="n">
        <x:v>74</x:v>
      </x:c>
      <x:c r="E92" s="30" t="str">
        <x:v>Teaching</x:v>
      </x:c>
      <x:c r="F92" s="30" t="str">
        <x:v>Algebra</x:v>
      </x:c>
      <x:c r="G92" s="30" t="str">
        <x:v>Unit 6 — Algebraic fractions (complete)</x:v>
      </x:c>
      <x:c r="H92" s="30" t="str">
        <x:v>5/7</x:v>
      </x:c>
      <x:c r="I92" s="30" t="str">
        <x:v>Multiplying, dividing and solving algebraic fractions (1/2)</x:v>
      </x:c>
      <x:c r="J92" s="30" t="str">
        <x:v>Part 1/2: Multiply/divide algebraic fractions and solve equations with exclusions.</x:v>
      </x:c>
      <x:c r="K92" s="30" t="str"/>
      <x:c r="L92" s="30" t="str">
        <x:v>Book 2 · Algebra 10</x:v>
      </x:c>
      <x:c r="M92" s="30" t="str"/>
      <x:c r="N92" s="30"/>
      <x:c r="O92" s="30" t="str"/>
    </x:row>
    <x:row r="93" ht="26.399999618530273" hidden="0" customHeight="1">
      <x:c r="A93" s="30" t="str">
        <x:v>Lent</x:v>
      </x:c>
      <x:c r="B93" s="30" t="str">
        <x:v>L9A</x:v>
      </x:c>
      <x:c r="C93" s="30" t="str">
        <x:v>8-12 Mar 2027</x:v>
      </x:c>
      <x:c r="D93" s="32" t="n">
        <x:v>75</x:v>
      </x:c>
      <x:c r="E93" s="30" t="str">
        <x:v>Teaching</x:v>
      </x:c>
      <x:c r="F93" s="30" t="str">
        <x:v>Algebra</x:v>
      </x:c>
      <x:c r="G93" s="30" t="str">
        <x:v>Unit 6 — Algebraic fractions (complete)</x:v>
      </x:c>
      <x:c r="H93" s="30" t="str">
        <x:v>6/7</x:v>
      </x:c>
      <x:c r="I93" s="30" t="str">
        <x:v>Multiplying, dividing and solving algebraic fractions (2/2)</x:v>
      </x:c>
      <x:c r="J93" s="30" t="str">
        <x:v>Part 2/2: Multiply/divide algebraic fractions and solve equations with exclusions.</x:v>
      </x:c>
      <x:c r="K93" s="30" t="str"/>
      <x:c r="L93" s="30" t="str">
        <x:v>Book 2 · Algebra 10</x:v>
      </x:c>
      <x:c r="M93" s="30" t="str"/>
      <x:c r="N93" s="30"/>
      <x:c r="O93" s="30" t="str"/>
    </x:row>
    <x:row r="94" ht="39.599998474121094" hidden="0" customHeight="1">
      <x:c r="A94" s="30" t="str">
        <x:v>Lent</x:v>
      </x:c>
      <x:c r="B94" s="30" t="str">
        <x:v>L9A</x:v>
      </x:c>
      <x:c r="C94" s="30" t="str">
        <x:v>8-12 Mar 2027</x:v>
      </x:c>
      <x:c r="D94" s="32" t="n">
        <x:v>76</x:v>
      </x:c>
      <x:c r="E94" s="30" t="str">
        <x:v>Review</x:v>
      </x:c>
      <x:c r="F94" s="30" t="str">
        <x:v>Algebra</x:v>
      </x:c>
      <x:c r="G94" s="30" t="str">
        <x:v>Unit 6 — Algebraic fractions (complete)</x:v>
      </x:c>
      <x:c r="H94" s="30" t="str">
        <x:v>7/7</x:v>
      </x:c>
      <x:c r="I94" s="30" t="str">
        <x:v>Algebraic fractions consolidation</x:v>
      </x:c>
      <x:c r="J94" s="30" t="str">
        <x:v>Mixed algebraic-fraction simplification and equation practice.</x:v>
      </x:c>
      <x:c r="K94" s="30" t="str">
        <x:v>Group by need from recent exit tickets. Include stretch pathway for pupils ready for harder GCSE or problem-solving tasks.</x:v>
      </x:c>
      <x:c r="L94" s="30" t="str">
        <x:v>Book 2 · Algebra 10</x:v>
      </x:c>
      <x:c r="M94" s="30" t="str"/>
      <x:c r="N94" s="30"/>
      <x:c r="O94" s="30" t="str"/>
    </x:row>
    <x:row r="95" ht="39.599998474121094" hidden="0" customHeight="1">
      <x:c r="A95" s="30" t="str">
        <x:v>Lent</x:v>
      </x:c>
      <x:c r="B95" s="30" t="str">
        <x:v>L10B</x:v>
      </x:c>
      <x:c r="C95" s="30" t="str">
        <x:v>15-19 Mar 2027</x:v>
      </x:c>
      <x:c r="D95" s="32" t="n">
        <x:v>77</x:v>
      </x:c>
      <x:c r="E95" s="30" t="str">
        <x:v>Unit Assessment</x:v>
      </x:c>
      <x:c r="F95" s="30" t="str">
        <x:v>Algebra</x:v>
      </x:c>
      <x:c r="G95" s="30" t="str">
        <x:v>Unit 6 — Algebraic fractions (complete)</x:v>
      </x:c>
      <x:c r="H95" s="30" t="str">
        <x:v>Assessment</x:v>
      </x:c>
      <x:c r="I95" s="30" t="str">
        <x:v>Unit 6 - Algebraic fractions (complete) assessment</x:v>
      </x:c>
      <x:c r="J95" s="30" t="str">
        <x:v>End-of-unit assessment for Unit 6 — Algebraic fractions (complete). Use results to inform reteaching, intervention and reporting evidence.</x:v>
      </x:c>
      <x:c r="K95" s="30" t="str">
        <x:v>Use access arrangements and clear success criteria. Follow with targeted reteaching where class data shows common misconceptions.</x:v>
      </x:c>
      <x:c r="L95" s="30" t="str">
        <x:v>Unit 6 assessment</x:v>
      </x:c>
      <x:c r="M95" s="30" t="str">
        <x:v>Unit Assessment</x:v>
      </x:c>
      <x:c r="N95" s="30" t="str">
        <x:v>Unit 6 — Algebraic fractions (complete)</x:v>
      </x:c>
      <x:c r="O95" s="30" t="str"/>
    </x:row>
    <x:row r="96" ht="26.399999618530273" hidden="0" customHeight="1">
      <x:c r="A96" s="30" t="str">
        <x:v>Lent</x:v>
      </x:c>
      <x:c r="B96" s="30" t="str">
        <x:v>L10B</x:v>
      </x:c>
      <x:c r="C96" s="30" t="str">
        <x:v>15-19 Mar 2027</x:v>
      </x:c>
      <x:c r="D96" s="32" t="n">
        <x:v>78</x:v>
      </x:c>
      <x:c r="E96" s="30" t="str">
        <x:v>Teaching</x:v>
      </x:c>
      <x:c r="F96" s="30" t="str">
        <x:v>Geometry</x:v>
      </x:c>
      <x:c r="G96" s="30" t="str">
        <x:v>Unit 7 — 2D geometry &amp; constructions</x:v>
      </x:c>
      <x:c r="H96" s="30" t="str">
        <x:v>1/8</x:v>
      </x:c>
      <x:c r="I96" s="30" t="str">
        <x:v>Angle properties — parallel lines and polygons (1/2)</x:v>
      </x:c>
      <x:c r="J96" s="30" t="str">
        <x:v>Part 1/2: Use angles in parallel lines, triangles, quadrilaterals and polygons.</x:v>
      </x:c>
      <x:c r="K96" s="30" t="str"/>
      <x:c r="L96" s="30" t="str">
        <x:v>Book 1 · Shape and Space 1</x:v>
      </x:c>
      <x:c r="M96" s="30" t="str"/>
      <x:c r="N96" s="30"/>
      <x:c r="O96" s="30" t="str"/>
    </x:row>
    <x:row r="97" ht="26.399999618530273" hidden="0" customHeight="1">
      <x:c r="A97" s="30" t="str">
        <x:v>Lent</x:v>
      </x:c>
      <x:c r="B97" s="30" t="str">
        <x:v>L10B</x:v>
      </x:c>
      <x:c r="C97" s="30" t="str">
        <x:v>15-19 Mar 2027</x:v>
      </x:c>
      <x:c r="D97" s="32" t="n">
        <x:v>79</x:v>
      </x:c>
      <x:c r="E97" s="30" t="str">
        <x:v>Teaching</x:v>
      </x:c>
      <x:c r="F97" s="30" t="str">
        <x:v>Geometry</x:v>
      </x:c>
      <x:c r="G97" s="30" t="str">
        <x:v>Unit 7 — 2D geometry &amp; constructions</x:v>
      </x:c>
      <x:c r="H97" s="30" t="str">
        <x:v>2/8</x:v>
      </x:c>
      <x:c r="I97" s="30" t="str">
        <x:v>Angle properties — parallel lines and polygons (2/2)</x:v>
      </x:c>
      <x:c r="J97" s="30" t="str">
        <x:v>Part 2/2: Use angles in parallel lines, triangles, quadrilaterals and polygons.</x:v>
      </x:c>
      <x:c r="K97" s="30" t="str"/>
      <x:c r="L97" s="30" t="str">
        <x:v>Book 1 · Shape and Space 1</x:v>
      </x:c>
      <x:c r="M97" s="30" t="str"/>
      <x:c r="N97" s="30"/>
      <x:c r="O97" s="30" t="str"/>
    </x:row>
    <x:row r="98" ht="26.399999618530273" hidden="0" customHeight="1">
      <x:c r="A98" s="30" t="str">
        <x:v>Lent</x:v>
      </x:c>
      <x:c r="B98" s="30" t="str">
        <x:v>L11A</x:v>
      </x:c>
      <x:c r="C98" s="30" t="str">
        <x:v>22-26 Mar 2027</x:v>
      </x:c>
      <x:c r="D98" s="32" t="n">
        <x:v>80</x:v>
      </x:c>
      <x:c r="E98" s="30" t="str">
        <x:v>Teaching</x:v>
      </x:c>
      <x:c r="F98" s="30" t="str">
        <x:v>Geometry</x:v>
      </x:c>
      <x:c r="G98" s="30" t="str">
        <x:v>Unit 7 — 2D geometry &amp; constructions</x:v>
      </x:c>
      <x:c r="H98" s="30" t="str">
        <x:v>3/8</x:v>
      </x:c>
      <x:c r="I98" s="30" t="str">
        <x:v>Constructions, loci and similar triangles (1/2)</x:v>
      </x:c>
      <x:c r="J98" s="30" t="str">
        <x:v>Part 1/2: Construct bisectors/triangles; use loci; solve similar-triangle problems.</x:v>
      </x:c>
      <x:c r="K98" s="30" t="str"/>
      <x:c r="L98" s="30" t="str">
        <x:v>Book 1 · Shape and Space 1</x:v>
      </x:c>
      <x:c r="M98" s="30" t="str"/>
      <x:c r="N98" s="30"/>
      <x:c r="O98" s="30" t="str"/>
    </x:row>
    <x:row r="99" ht="26.399999618530273" hidden="0" customHeight="1">
      <x:c r="A99" s="30" t="str">
        <x:v>Lent</x:v>
      </x:c>
      <x:c r="B99" s="30" t="str">
        <x:v>L11A</x:v>
      </x:c>
      <x:c r="C99" s="30" t="str">
        <x:v>22-26 Mar 2027</x:v>
      </x:c>
      <x:c r="D99" s="32" t="n">
        <x:v>81</x:v>
      </x:c>
      <x:c r="E99" s="30" t="str">
        <x:v>Teaching</x:v>
      </x:c>
      <x:c r="F99" s="30" t="str">
        <x:v>Geometry</x:v>
      </x:c>
      <x:c r="G99" s="30" t="str">
        <x:v>Unit 7 — 2D geometry &amp; constructions</x:v>
      </x:c>
      <x:c r="H99" s="30" t="str">
        <x:v>4/8</x:v>
      </x:c>
      <x:c r="I99" s="30" t="str">
        <x:v>Constructions, loci and similar triangles (2/2)</x:v>
      </x:c>
      <x:c r="J99" s="30" t="str">
        <x:v>Part 2/2: Construct bisectors/triangles; use loci; solve similar-triangle problems.</x:v>
      </x:c>
      <x:c r="K99" s="30" t="str"/>
      <x:c r="L99" s="30" t="str">
        <x:v>Book 1 · Shape and Space 1</x:v>
      </x:c>
      <x:c r="M99" s="30" t="str"/>
      <x:c r="N99" s="30"/>
      <x:c r="O99" s="30" t="str"/>
    </x:row>
    <x:row r="100" ht="26.399999618530273" hidden="0" customHeight="1">
      <x:c r="A100" s="30" t="str">
        <x:v>Lent</x:v>
      </x:c>
      <x:c r="B100" s="30" t="str">
        <x:v>L11A</x:v>
      </x:c>
      <x:c r="C100" s="30" t="str">
        <x:v>22-26 Mar 2027</x:v>
      </x:c>
      <x:c r="D100" s="32" t="n">
        <x:v>82</x:v>
      </x:c>
      <x:c r="E100" s="30" t="str">
        <x:v>Teaching</x:v>
      </x:c>
      <x:c r="F100" s="30" t="str">
        <x:v>Geometry</x:v>
      </x:c>
      <x:c r="G100" s="30" t="str">
        <x:v>Unit 7 — 2D geometry &amp; constructions</x:v>
      </x:c>
      <x:c r="H100" s="30" t="str">
        <x:v>5/8</x:v>
      </x:c>
      <x:c r="I100" s="30" t="str">
        <x:v>Area, perimeter, circles, arcs and sectors (1/3)</x:v>
      </x:c>
      <x:c r="J100" s="30" t="str">
        <x:v>Part 1/3: Calculate area/perimeter, circumference/area of circles, arc length and sector area.</x:v>
      </x:c>
      <x:c r="K100" s="30" t="str"/>
      <x:c r="L100" s="30" t="str">
        <x:v>Book 2 · Shape and Space 7</x:v>
      </x:c>
      <x:c r="M100" s="30" t="str"/>
      <x:c r="N100" s="30"/>
      <x:c r="O100" s="30" t="str"/>
    </x:row>
    <x:row r="101" ht="26.399999618530273" hidden="0" customHeight="1">
      <x:c r="A101" s="30" t="str">
        <x:v>Lent</x:v>
      </x:c>
      <x:c r="B101" s="30" t="str">
        <x:v>L11A</x:v>
      </x:c>
      <x:c r="C101" s="30" t="str">
        <x:v>22-26 Mar 2027</x:v>
      </x:c>
      <x:c r="D101" s="32" t="n">
        <x:v>83</x:v>
      </x:c>
      <x:c r="E101" s="30" t="str">
        <x:v>Teaching</x:v>
      </x:c>
      <x:c r="F101" s="30" t="str">
        <x:v>Geometry</x:v>
      </x:c>
      <x:c r="G101" s="30" t="str">
        <x:v>Unit 7 — 2D geometry &amp; constructions</x:v>
      </x:c>
      <x:c r="H101" s="30" t="str">
        <x:v>6/8</x:v>
      </x:c>
      <x:c r="I101" s="30" t="str">
        <x:v>Area, perimeter, circles, arcs and sectors (2/3)</x:v>
      </x:c>
      <x:c r="J101" s="30" t="str">
        <x:v>Part 2/3: Calculate area/perimeter, circumference/area of circles, arc length and sector area.</x:v>
      </x:c>
      <x:c r="K101" s="30" t="str"/>
      <x:c r="L101" s="30" t="str">
        <x:v>Book 2 · Shape and Space 7</x:v>
      </x:c>
      <x:c r="M101" s="30" t="str"/>
      <x:c r="N101" s="30"/>
      <x:c r="O101" s="30" t="str"/>
    </x:row>
    <x:row r="102" ht="15" hidden="0" customHeight="1">
      <x:c r="A102" s="30" t="str">
        <x:v>Lent</x:v>
      </x:c>
      <x:c r="B102" s="30" t="str">
        <x:v>L12B</x:v>
      </x:c>
      <x:c r="C102" s="30" t="str">
        <x:v>29 Mar-2 Apr 2027</x:v>
      </x:c>
      <x:c r="D102" s="32"/>
      <x:c r="E102" s="30" t="str">
        <x:v>Calendar Event</x:v>
      </x:c>
      <x:c r="F102" s="30"/>
      <x:c r="G102" s="30"/>
      <x:c r="H102" s="30"/>
      <x:c r="I102" s="30" t="str">
        <x:v>INTERIM REPORT 3 PUBLISHES - Mon 29 Mar</x:v>
      </x:c>
      <x:c r="J102" s="30" t="str">
        <x:v>Yr 7, 9, 10 and 12 Interim Report 3 publishes Mon 29 Mar.</x:v>
      </x:c>
      <x:c r="K102" s="30"/>
      <x:c r="L102" s="30"/>
      <x:c r="M102" s="30" t="str">
        <x:v>Report window</x:v>
      </x:c>
      <x:c r="N102" s="30"/>
      <x:c r="O102" s="30" t="str">
        <x:v>Placed in the academic-calendar week</x:v>
      </x:c>
    </x:row>
    <x:row r="103" ht="26.399999618530273" hidden="0" customHeight="1">
      <x:c r="A103" s="30" t="str">
        <x:v>Lent</x:v>
      </x:c>
      <x:c r="B103" s="30" t="str">
        <x:v>L12B</x:v>
      </x:c>
      <x:c r="C103" s="30" t="str">
        <x:v>29 Mar-2 Apr 2027</x:v>
      </x:c>
      <x:c r="D103" s="32" t="n">
        <x:v>84</x:v>
      </x:c>
      <x:c r="E103" s="30" t="str">
        <x:v>Teaching</x:v>
      </x:c>
      <x:c r="F103" s="30" t="str">
        <x:v>Geometry</x:v>
      </x:c>
      <x:c r="G103" s="30" t="str">
        <x:v>Unit 7 — 2D geometry &amp; constructions</x:v>
      </x:c>
      <x:c r="H103" s="30" t="str">
        <x:v>7/8</x:v>
      </x:c>
      <x:c r="I103" s="30" t="str">
        <x:v>Area, perimeter, circles, arcs and sectors (3/3)</x:v>
      </x:c>
      <x:c r="J103" s="30" t="str">
        <x:v>Part 3/3: Calculate area/perimeter, circumference/area of circles, arc length and sector area.</x:v>
      </x:c>
      <x:c r="K103" s="30" t="str"/>
      <x:c r="L103" s="30" t="str">
        <x:v>Book 2 · Shape and Space 7</x:v>
      </x:c>
      <x:c r="M103" s="30" t="str"/>
      <x:c r="N103" s="30"/>
      <x:c r="O103" s="30" t="str">
        <x:v>No new unit starts in final pre-break weeks.</x:v>
      </x:c>
    </x:row>
    <x:row r="104" ht="39.599998474121094" hidden="0" customHeight="1">
      <x:c r="A104" s="30" t="str">
        <x:v>Lent</x:v>
      </x:c>
      <x:c r="B104" s="30" t="str">
        <x:v>L12B</x:v>
      </x:c>
      <x:c r="C104" s="30" t="str">
        <x:v>29 Mar-2 Apr 2027</x:v>
      </x:c>
      <x:c r="D104" s="32" t="n">
        <x:v>85</x:v>
      </x:c>
      <x:c r="E104" s="30" t="str">
        <x:v>Review</x:v>
      </x:c>
      <x:c r="F104" s="30" t="str">
        <x:v>Geometry</x:v>
      </x:c>
      <x:c r="G104" s="30" t="str">
        <x:v>Unit 7 — 2D geometry &amp; constructions</x:v>
      </x:c>
      <x:c r="H104" s="30" t="str">
        <x:v>8/8</x:v>
      </x:c>
      <x:c r="I104" s="30" t="str">
        <x:v>2D geometry consolidation</x:v>
      </x:c>
      <x:c r="J104" s="30" t="str">
        <x:v>Mixed geometry and construction practice.</x:v>
      </x:c>
      <x:c r="K104" s="30" t="str">
        <x:v>Group by need from recent exit tickets. Include stretch pathway for pupils ready for harder GCSE or problem-solving tasks.</x:v>
      </x:c>
      <x:c r="L104" s="30" t="str">
        <x:v>Y10 unit consolidation</x:v>
      </x:c>
      <x:c r="M104" s="30" t="str"/>
      <x:c r="N104" s="30"/>
      <x:c r="O104" s="30" t="str">
        <x:v>No new unit starts in final pre-break weeks.</x:v>
      </x:c>
    </x:row>
    <x:row r="105" ht="26.399999618530273" hidden="0" customHeight="1">
      <x:c r="A105" s="30" t="str">
        <x:v>Lent</x:v>
      </x:c>
      <x:c r="B105" s="30"/>
      <x:c r="C105" s="30" t="str">
        <x:v>5-16 Apr 2027</x:v>
      </x:c>
      <x:c r="D105" s="32"/>
      <x:c r="E105" s="30" t="str">
        <x:v>School Break</x:v>
      </x:c>
      <x:c r="F105" s="30"/>
      <x:c r="G105" s="30"/>
      <x:c r="H105" s="30"/>
      <x:c r="I105" s="30" t="str">
        <x:v>Easter / End of Lent</x:v>
      </x:c>
      <x:c r="J105" s="30" t="str">
        <x:v>Full school break inserted for teacher visibility.</x:v>
      </x:c>
      <x:c r="K105" s="30"/>
      <x:c r="L105" s="30" t="str">
        <x:v>School calendar</x:v>
      </x:c>
      <x:c r="M105" s="30"/>
      <x:c r="N105" s="30"/>
      <x:c r="O105" s="30" t="str">
        <x:v>Full-week break / no timetabled Mathematics</x:v>
      </x:c>
    </x:row>
    <x:row r="106" ht="39.599998474121094" hidden="0" customHeight="1">
      <x:c r="A106" s="30" t="str">
        <x:v>Summer</x:v>
      </x:c>
      <x:c r="B106" s="30" t="str">
        <x:v>S1A</x:v>
      </x:c>
      <x:c r="C106" s="30" t="str">
        <x:v>19-23 Apr 2027</x:v>
      </x:c>
      <x:c r="D106" s="32" t="n">
        <x:v>86</x:v>
      </x:c>
      <x:c r="E106" s="30" t="str">
        <x:v>Unit Assessment</x:v>
      </x:c>
      <x:c r="F106" s="30" t="str">
        <x:v>Geometry</x:v>
      </x:c>
      <x:c r="G106" s="30" t="str">
        <x:v>Unit 7 — 2D geometry &amp; constructions</x:v>
      </x:c>
      <x:c r="H106" s="30" t="str">
        <x:v>Assessment</x:v>
      </x:c>
      <x:c r="I106" s="30" t="str">
        <x:v>Unit 7 - 2D geometry &amp; constructions assessment</x:v>
      </x:c>
      <x:c r="J106" s="30" t="str">
        <x:v>End-of-unit assessment for Unit 7 — 2D geometry &amp; constructions. Use results to inform reteaching, intervention and reporting evidence.</x:v>
      </x:c>
      <x:c r="K106" s="30" t="str">
        <x:v>Use access arrangements and clear success criteria. Follow with targeted reteaching where class data shows common misconceptions.</x:v>
      </x:c>
      <x:c r="L106" s="30" t="str">
        <x:v>Unit 7 assessment</x:v>
      </x:c>
      <x:c r="M106" s="30" t="str">
        <x:v>Unit Assessment</x:v>
      </x:c>
      <x:c r="N106" s="30" t="str">
        <x:v>Unit 7 — 2D geometry &amp; constructions</x:v>
      </x:c>
      <x:c r="O106" s="30" t="str"/>
    </x:row>
    <x:row r="107" ht="39.599998474121094" hidden="0" customHeight="1">
      <x:c r="A107" s="30" t="str">
        <x:v>Summer</x:v>
      </x:c>
      <x:c r="B107" s="30" t="str">
        <x:v>S1A</x:v>
      </x:c>
      <x:c r="C107" s="30" t="str">
        <x:v>19-23 Apr 2027</x:v>
      </x:c>
      <x:c r="D107" s="32" t="n">
        <x:v>87</x:v>
      </x:c>
      <x:c r="E107" s="30" t="str">
        <x:v>Consolidation</x:v>
      </x:c>
      <x:c r="F107" s="30" t="str">
        <x:v>Geometry</x:v>
      </x:c>
      <x:c r="G107" s="30" t="str">
        <x:v>Unit 7 — 2D geometry &amp; constructions</x:v>
      </x:c>
      <x:c r="H107" s="30" t="str">
        <x:v>Pre-break 1/2</x:v>
      </x:c>
      <x:c r="I107" s="30" t="str">
        <x:v>Geometry fluency and reasoning before Easter 1/2</x:v>
      </x:c>
      <x:c r="J107" s="30" t="str">
        <x:v>Consolidate angle, construction, loci and circle-area work. Use non-routine geometry problems and exact diagram work. No new unit starts in the final Lent week.</x:v>
      </x:c>
      <x:c r="K107" s="30" t="str">
        <x:v>Group by need from recent exit tickets. Include stretch pathway for pupils ready for harder GCSE or problem-solving tasks.</x:v>
      </x:c>
      <x:c r="L107" s="30" t="str">
        <x:v>Teacher-created GCSE geometry practice</x:v>
      </x:c>
      <x:c r="M107" s="30" t="str">
        <x:v>Consolidation</x:v>
      </x:c>
      <x:c r="N107" s="30" t="str">
        <x:v>Unit 7 — 2D geometry &amp; constructions</x:v>
      </x:c>
      <x:c r="O107" s="30" t="str"/>
    </x:row>
    <x:row r="108" ht="39.599998474121094" hidden="0" customHeight="1">
      <x:c r="A108" s="30" t="str">
        <x:v>Summer</x:v>
      </x:c>
      <x:c r="B108" s="30" t="str">
        <x:v>S1A</x:v>
      </x:c>
      <x:c r="C108" s="30" t="str">
        <x:v>19-23 Apr 2027</x:v>
      </x:c>
      <x:c r="D108" s="32" t="n">
        <x:v>88</x:v>
      </x:c>
      <x:c r="E108" s="30" t="str">
        <x:v>Consolidation</x:v>
      </x:c>
      <x:c r="F108" s="30" t="str">
        <x:v>Geometry</x:v>
      </x:c>
      <x:c r="G108" s="30" t="str">
        <x:v>Unit 7 — 2D geometry &amp; constructions</x:v>
      </x:c>
      <x:c r="H108" s="30" t="str">
        <x:v>Pre-break 2/2</x:v>
      </x:c>
      <x:c r="I108" s="30" t="str">
        <x:v>Geometry fluency and reasoning before Easter 2/2</x:v>
      </x:c>
      <x:c r="J108" s="30" t="str">
        <x:v>Consolidate angle, construction, loci and circle-area work. Use non-routine geometry problems and exact diagram work. No new unit starts in the final Lent week.</x:v>
      </x:c>
      <x:c r="K108" s="30" t="str">
        <x:v>Group by need from recent exit tickets. Include stretch pathway for pupils ready for harder GCSE or problem-solving tasks.</x:v>
      </x:c>
      <x:c r="L108" s="30" t="str">
        <x:v>Teacher-created GCSE geometry practice</x:v>
      </x:c>
      <x:c r="M108" s="30" t="str">
        <x:v>Consolidation</x:v>
      </x:c>
      <x:c r="N108" s="30" t="str">
        <x:v>Unit 7 — 2D geometry &amp; constructions</x:v>
      </x:c>
      <x:c r="O108" s="30" t="str"/>
    </x:row>
    <x:row r="109" ht="52.79999923706055" hidden="0" customHeight="1">
      <x:c r="A109" s="30" t="str">
        <x:v>Summer</x:v>
      </x:c>
      <x:c r="B109" s="30" t="str">
        <x:v>S1A</x:v>
      </x:c>
      <x:c r="C109" s="30" t="str">
        <x:v>19-23 Apr 2027</x:v>
      </x:c>
      <x:c r="D109" s="32" t="n">
        <x:v>89</x:v>
      </x:c>
      <x:c r="E109" s="30" t="str">
        <x:v>Teaching</x:v>
      </x:c>
      <x:c r="F109" s="30" t="str">
        <x:v>Geometry / Trigonometry</x:v>
      </x:c>
      <x:c r="G109" s="30" t="str">
        <x:v>Unit 8 — Pythagoras &amp; trigonometry (2D)</x:v>
      </x:c>
      <x:c r="H109" s="30" t="str">
        <x:v>1/7</x:v>
      </x:c>
      <x:c r="I109" s="30" t="str">
        <x:v>Pythagoras' theorem</x:v>
      </x:c>
      <x:c r="J109" s="30" t="str">
        <x:v>Find hypotenuse and shorter sides; apply in multi-step 2D problems.</x:v>
      </x:c>
      <x:c r="K109" s="30" t="str">
        <x:v>Top set: use GCSE extension questions, proof prompts and non-routine contexts. Scaffold with retrieval starters and worked-example fading where needed.</x:v>
      </x:c>
      <x:c r="L109" s="30" t="str">
        <x:v>Book 1 · Shape and Space 2</x:v>
      </x:c>
      <x:c r="M109" s="30" t="str"/>
      <x:c r="N109" s="30"/>
      <x:c r="O109" s="30" t="str"/>
    </x:row>
    <x:row r="110" ht="52.79999923706055" hidden="0" customHeight="1">
      <x:c r="A110" s="30" t="str">
        <x:v>Summer</x:v>
      </x:c>
      <x:c r="B110" s="30" t="str">
        <x:v>S2B</x:v>
      </x:c>
      <x:c r="C110" s="30" t="str">
        <x:v>26-30 Apr 2027</x:v>
      </x:c>
      <x:c r="D110" s="32" t="n">
        <x:v>90</x:v>
      </x:c>
      <x:c r="E110" s="30" t="str">
        <x:v>Teaching</x:v>
      </x:c>
      <x:c r="F110" s="30" t="str">
        <x:v>Geometry / Trigonometry</x:v>
      </x:c>
      <x:c r="G110" s="30" t="str">
        <x:v>Unit 8 — Pythagoras &amp; trigonometry (2D)</x:v>
      </x:c>
      <x:c r="H110" s="30" t="str">
        <x:v>2/7</x:v>
      </x:c>
      <x:c r="I110" s="30" t="str">
        <x:v>SOHCAHTOA — sides and angles (1/3)</x:v>
      </x:c>
      <x:c r="J110" s="30" t="str">
        <x:v>Part 1/3: Use sine, cosine and tangent to find missing sides and angles; include exact values.</x:v>
      </x:c>
      <x:c r="K110" s="30" t="str">
        <x:v>Top set: use GCSE extension questions, proof prompts and non-routine contexts. Scaffold with retrieval starters and worked-example fading where needed.</x:v>
      </x:c>
      <x:c r="L110" s="30" t="str">
        <x:v>Book 1 · Shape and Space 3/4</x:v>
      </x:c>
      <x:c r="M110" s="30" t="str"/>
      <x:c r="N110" s="30"/>
      <x:c r="O110" s="30" t="str"/>
    </x:row>
    <x:row r="111" ht="52.79999923706055" hidden="0" customHeight="1">
      <x:c r="A111" s="30" t="str">
        <x:v>Summer</x:v>
      </x:c>
      <x:c r="B111" s="30" t="str">
        <x:v>S2B</x:v>
      </x:c>
      <x:c r="C111" s="30" t="str">
        <x:v>26-30 Apr 2027</x:v>
      </x:c>
      <x:c r="D111" s="32" t="n">
        <x:v>91</x:v>
      </x:c>
      <x:c r="E111" s="30" t="str">
        <x:v>Teaching</x:v>
      </x:c>
      <x:c r="F111" s="30" t="str">
        <x:v>Geometry / Trigonometry</x:v>
      </x:c>
      <x:c r="G111" s="30" t="str">
        <x:v>Unit 8 — Pythagoras &amp; trigonometry (2D)</x:v>
      </x:c>
      <x:c r="H111" s="30" t="str">
        <x:v>3/7</x:v>
      </x:c>
      <x:c r="I111" s="30" t="str">
        <x:v>SOHCAHTOA — sides and angles (2/3)</x:v>
      </x:c>
      <x:c r="J111" s="30" t="str">
        <x:v>Part 2/3: Use sine, cosine and tangent to find missing sides and angles; include exact values.</x:v>
      </x:c>
      <x:c r="K111" s="30" t="str">
        <x:v>Top set: use GCSE extension questions, proof prompts and non-routine contexts. Scaffold with retrieval starters and worked-example fading where needed.</x:v>
      </x:c>
      <x:c r="L111" s="30" t="str">
        <x:v>Book 1 · Shape and Space 3/4</x:v>
      </x:c>
      <x:c r="M111" s="30" t="str"/>
      <x:c r="N111" s="30"/>
      <x:c r="O111" s="30" t="str"/>
    </x:row>
    <x:row r="112" ht="52.79999923706055" hidden="0" customHeight="1">
      <x:c r="A112" s="30" t="str">
        <x:v>Summer</x:v>
      </x:c>
      <x:c r="B112" s="30" t="str">
        <x:v>S2B</x:v>
      </x:c>
      <x:c r="C112" s="30" t="str">
        <x:v>26-30 Apr 2027</x:v>
      </x:c>
      <x:c r="D112" s="32" t="n">
        <x:v>92</x:v>
      </x:c>
      <x:c r="E112" s="30" t="str">
        <x:v>Teaching</x:v>
      </x:c>
      <x:c r="F112" s="30" t="str">
        <x:v>Geometry / Trigonometry</x:v>
      </x:c>
      <x:c r="G112" s="30" t="str">
        <x:v>Unit 8 — Pythagoras &amp; trigonometry (2D)</x:v>
      </x:c>
      <x:c r="H112" s="30" t="str">
        <x:v>4/7</x:v>
      </x:c>
      <x:c r="I112" s="30" t="str">
        <x:v>SOHCAHTOA — sides and angles (3/3)</x:v>
      </x:c>
      <x:c r="J112" s="30" t="str">
        <x:v>Part 3/3: Use sine, cosine and tangent to find missing sides and angles; include exact values.</x:v>
      </x:c>
      <x:c r="K112" s="30" t="str">
        <x:v>Top set: use GCSE extension questions, proof prompts and non-routine contexts. Scaffold with retrieval starters and worked-example fading where needed.</x:v>
      </x:c>
      <x:c r="L112" s="30" t="str">
        <x:v>Book 1 · Shape and Space 3/4</x:v>
      </x:c>
      <x:c r="M112" s="30" t="str"/>
      <x:c r="N112" s="30"/>
      <x:c r="O112" s="30" t="str"/>
    </x:row>
    <x:row r="113" ht="52.79999923706055" hidden="0" customHeight="1">
      <x:c r="A113" s="30" t="str">
        <x:v>Summer</x:v>
      </x:c>
      <x:c r="B113" s="30" t="str">
        <x:v>S3A</x:v>
      </x:c>
      <x:c r="C113" s="30" t="str">
        <x:v>3-7 May 2027</x:v>
      </x:c>
      <x:c r="D113" s="32" t="n">
        <x:v>93</x:v>
      </x:c>
      <x:c r="E113" s="30" t="str">
        <x:v>Teaching</x:v>
      </x:c>
      <x:c r="F113" s="30" t="str">
        <x:v>Geometry / Trigonometry</x:v>
      </x:c>
      <x:c r="G113" s="30" t="str">
        <x:v>Unit 8 — Pythagoras &amp; trigonometry (2D)</x:v>
      </x:c>
      <x:c r="H113" s="30" t="str">
        <x:v>5/7</x:v>
      </x:c>
      <x:c r="I113" s="30" t="str">
        <x:v>Trigonometry in context — bearings, elevation and depression (1/2)</x:v>
      </x:c>
      <x:c r="J113" s="30" t="str">
        <x:v>Part 1/2: Solve multi-step right-triangle problems in realistic contexts.</x:v>
      </x:c>
      <x:c r="K113" s="30" t="str">
        <x:v>Top set: use GCSE extension questions, proof prompts and non-routine contexts. Scaffold with retrieval starters and worked-example fading where needed.</x:v>
      </x:c>
      <x:c r="L113" s="30" t="str">
        <x:v>Book 1 · Shape and Space 4</x:v>
      </x:c>
      <x:c r="M113" s="30" t="str"/>
      <x:c r="N113" s="30"/>
      <x:c r="O113" s="30" t="str"/>
    </x:row>
    <x:row r="114" ht="52.79999923706055" hidden="0" customHeight="1">
      <x:c r="A114" s="30" t="str">
        <x:v>Summer</x:v>
      </x:c>
      <x:c r="B114" s="30" t="str">
        <x:v>S3A</x:v>
      </x:c>
      <x:c r="C114" s="30" t="str">
        <x:v>3-7 May 2027</x:v>
      </x:c>
      <x:c r="D114" s="32" t="n">
        <x:v>94</x:v>
      </x:c>
      <x:c r="E114" s="30" t="str">
        <x:v>Teaching</x:v>
      </x:c>
      <x:c r="F114" s="30" t="str">
        <x:v>Geometry / Trigonometry</x:v>
      </x:c>
      <x:c r="G114" s="30" t="str">
        <x:v>Unit 8 — Pythagoras &amp; trigonometry (2D)</x:v>
      </x:c>
      <x:c r="H114" s="30" t="str">
        <x:v>6/7</x:v>
      </x:c>
      <x:c r="I114" s="30" t="str">
        <x:v>Trigonometry in context — bearings, elevation and depression (2/2)</x:v>
      </x:c>
      <x:c r="J114" s="30" t="str">
        <x:v>Part 2/2: Solve multi-step right-triangle problems in realistic contexts.</x:v>
      </x:c>
      <x:c r="K114" s="30" t="str">
        <x:v>Top set: use GCSE extension questions, proof prompts and non-routine contexts. Scaffold with retrieval starters and worked-example fading where needed.</x:v>
      </x:c>
      <x:c r="L114" s="30" t="str">
        <x:v>Book 1 · Shape and Space 4</x:v>
      </x:c>
      <x:c r="M114" s="30" t="str"/>
      <x:c r="N114" s="30"/>
      <x:c r="O114" s="30" t="str"/>
    </x:row>
    <x:row r="115" ht="39.599998474121094" hidden="0" customHeight="1">
      <x:c r="A115" s="30" t="str">
        <x:v>Summer</x:v>
      </x:c>
      <x:c r="B115" s="30" t="str">
        <x:v>S3A</x:v>
      </x:c>
      <x:c r="C115" s="30" t="str">
        <x:v>3-7 May 2027</x:v>
      </x:c>
      <x:c r="D115" s="32" t="n">
        <x:v>95</x:v>
      </x:c>
      <x:c r="E115" s="30" t="str">
        <x:v>Review</x:v>
      </x:c>
      <x:c r="F115" s="30" t="str">
        <x:v>Geometry / Trigonometry</x:v>
      </x:c>
      <x:c r="G115" s="30" t="str">
        <x:v>Unit 8 — Pythagoras &amp; trigonometry (2D)</x:v>
      </x:c>
      <x:c r="H115" s="30" t="str">
        <x:v>7/7</x:v>
      </x:c>
      <x:c r="I115" s="30" t="str">
        <x:v>Pythagoras and trigonometry consolidation</x:v>
      </x:c>
      <x:c r="J115" s="30" t="str">
        <x:v>Mixed Pythagoras and trigonometry exam questions.</x:v>
      </x:c>
      <x:c r="K115" s="30" t="str">
        <x:v>Group by need from recent exit tickets. Include stretch pathway for pupils ready for harder GCSE or problem-solving tasks.</x:v>
      </x:c>
      <x:c r="L115" s="30" t="str">
        <x:v>Y10 unit consolidation</x:v>
      </x:c>
      <x:c r="M115" s="30" t="str"/>
      <x:c r="N115" s="30"/>
      <x:c r="O115" s="30" t="str"/>
    </x:row>
    <x:row r="116" ht="39.599998474121094" hidden="0" customHeight="1">
      <x:c r="A116" s="30" t="str">
        <x:v>Summer</x:v>
      </x:c>
      <x:c r="B116" s="30" t="str">
        <x:v>S4B</x:v>
      </x:c>
      <x:c r="C116" s="30" t="str">
        <x:v>10-14 May 2027</x:v>
      </x:c>
      <x:c r="D116" s="32" t="n">
        <x:v>96</x:v>
      </x:c>
      <x:c r="E116" s="30" t="str">
        <x:v>Unit Assessment</x:v>
      </x:c>
      <x:c r="F116" s="30" t="str">
        <x:v>Geometry / Trigonometry</x:v>
      </x:c>
      <x:c r="G116" s="30" t="str">
        <x:v>Unit 8 — Pythagoras &amp; trigonometry (2D)</x:v>
      </x:c>
      <x:c r="H116" s="30" t="str">
        <x:v>Assessment</x:v>
      </x:c>
      <x:c r="I116" s="30" t="str">
        <x:v>Unit 8 - Pythagoras &amp; trigonometry (2D) assessment</x:v>
      </x:c>
      <x:c r="J116" s="30" t="str">
        <x:v>End-of-unit assessment for Unit 8 — Pythagoras &amp; trigonometry (2D). Use results to inform reteaching, intervention and reporting evidence.</x:v>
      </x:c>
      <x:c r="K116" s="30" t="str">
        <x:v>Use access arrangements and clear success criteria. Follow with targeted reteaching where class data shows common misconceptions.</x:v>
      </x:c>
      <x:c r="L116" s="30" t="str">
        <x:v>Unit 8 assessment</x:v>
      </x:c>
      <x:c r="M116" s="30" t="str">
        <x:v>Unit Assessment</x:v>
      </x:c>
      <x:c r="N116" s="30" t="str">
        <x:v>Unit 8 — Pythagoras &amp; trigonometry (2D)</x:v>
      </x:c>
      <x:c r="O116" s="30" t="str"/>
    </x:row>
    <x:row r="117" ht="26.399999618530273" hidden="0" customHeight="1">
      <x:c r="A117" s="30" t="str">
        <x:v>Summer</x:v>
      </x:c>
      <x:c r="B117" s="30" t="str">
        <x:v>S4B</x:v>
      </x:c>
      <x:c r="C117" s="30" t="str">
        <x:v>10-14 May 2027</x:v>
      </x:c>
      <x:c r="D117" s="32" t="n">
        <x:v>97</x:v>
      </x:c>
      <x:c r="E117" s="30" t="str">
        <x:v>Teaching</x:v>
      </x:c>
      <x:c r="F117" s="30" t="str">
        <x:v>Geometry / Measures</x:v>
      </x:c>
      <x:c r="G117" s="30" t="str">
        <x:v>Unit 9 — 3D geometry &amp; similarity (complete)</x:v>
      </x:c>
      <x:c r="H117" s="30" t="str">
        <x:v>1/5</x:v>
      </x:c>
      <x:c r="I117" s="30" t="str">
        <x:v>Volume and surface area of 3D solids</x:v>
      </x:c>
      <x:c r="J117" s="30" t="str">
        <x:v>Calculate volume and surface area of prisms, cylinders and pyramids; use plans/elevations.</x:v>
      </x:c>
      <x:c r="K117" s="30" t="str"/>
      <x:c r="L117" s="30" t="str">
        <x:v>Book 2 · Shape and Space 7</x:v>
      </x:c>
      <x:c r="M117" s="30" t="str"/>
      <x:c r="N117" s="30"/>
      <x:c r="O117" s="30" t="str"/>
    </x:row>
    <x:row r="118" ht="26.399999618530273" hidden="0" customHeight="1">
      <x:c r="A118" s="30" t="str">
        <x:v>Summer</x:v>
      </x:c>
      <x:c r="B118" s="30" t="str">
        <x:v>S4B</x:v>
      </x:c>
      <x:c r="C118" s="30" t="str">
        <x:v>10-14 May 2027</x:v>
      </x:c>
      <x:c r="D118" s="32" t="n">
        <x:v>98</x:v>
      </x:c>
      <x:c r="E118" s="30" t="str">
        <x:v>Teaching</x:v>
      </x:c>
      <x:c r="F118" s="30" t="str">
        <x:v>Geometry / Measures</x:v>
      </x:c>
      <x:c r="G118" s="30" t="str">
        <x:v>Unit 9 — 3D geometry &amp; similarity (complete)</x:v>
      </x:c>
      <x:c r="H118" s="30" t="str">
        <x:v>2/5</x:v>
      </x:c>
      <x:c r="I118" s="30" t="str">
        <x:v>Sphere, cone and similarity scale factor</x:v>
      </x:c>
      <x:c r="J118" s="30" t="str">
        <x:v>Calculate surface area/volume of spheres and cones; use similarity and scale factor.</x:v>
      </x:c>
      <x:c r="K118" s="30" t="str"/>
      <x:c r="L118" s="30" t="str">
        <x:v>Book 2 · Shape and Space 7</x:v>
      </x:c>
      <x:c r="M118" s="30" t="str"/>
      <x:c r="N118" s="30"/>
      <x:c r="O118" s="30" t="str"/>
    </x:row>
    <x:row r="119" ht="26.399999618530273" hidden="0" customHeight="1">
      <x:c r="A119" s="30" t="str">
        <x:v>Summer</x:v>
      </x:c>
      <x:c r="B119" s="30" t="str">
        <x:v>S5A</x:v>
      </x:c>
      <x:c r="C119" s="30" t="str">
        <x:v>17-21 May 2027</x:v>
      </x:c>
      <x:c r="D119" s="32" t="n">
        <x:v>99</x:v>
      </x:c>
      <x:c r="E119" s="30" t="str">
        <x:v>Teaching</x:v>
      </x:c>
      <x:c r="F119" s="30" t="str">
        <x:v>Geometry / Measures</x:v>
      </x:c>
      <x:c r="G119" s="30" t="str">
        <x:v>Unit 9 — 3D geometry &amp; similarity (complete)</x:v>
      </x:c>
      <x:c r="H119" s="30" t="str">
        <x:v>3/5</x:v>
      </x:c>
      <x:c r="I119" s="30" t="str">
        <x:v>Similarity — area ratio k² and volume ratio k³ (1/2)</x:v>
      </x:c>
      <x:c r="J119" s="30" t="str">
        <x:v>Part 1/2: Use area and volume ratios to solve similar-shape and compound-shape problems.</x:v>
      </x:c>
      <x:c r="K119" s="30" t="str"/>
      <x:c r="L119" s="30" t="str">
        <x:v>Book 2 · Shape and Space 7</x:v>
      </x:c>
      <x:c r="M119" s="30" t="str"/>
      <x:c r="N119" s="30"/>
      <x:c r="O119" s="30" t="str"/>
    </x:row>
    <x:row r="120" ht="26.399999618530273" hidden="0" customHeight="1">
      <x:c r="A120" s="30" t="str">
        <x:v>Summer</x:v>
      </x:c>
      <x:c r="B120" s="30" t="str">
        <x:v>S5A</x:v>
      </x:c>
      <x:c r="C120" s="30" t="str">
        <x:v>17-21 May 2027</x:v>
      </x:c>
      <x:c r="D120" s="32" t="n">
        <x:v>100</x:v>
      </x:c>
      <x:c r="E120" s="30" t="str">
        <x:v>Teaching</x:v>
      </x:c>
      <x:c r="F120" s="30" t="str">
        <x:v>Geometry / Measures</x:v>
      </x:c>
      <x:c r="G120" s="30" t="str">
        <x:v>Unit 9 — 3D geometry &amp; similarity (complete)</x:v>
      </x:c>
      <x:c r="H120" s="30" t="str">
        <x:v>4/5</x:v>
      </x:c>
      <x:c r="I120" s="30" t="str">
        <x:v>Similarity — area ratio k² and volume ratio k³ (2/2)</x:v>
      </x:c>
      <x:c r="J120" s="30" t="str">
        <x:v>Part 2/2: Use area and volume ratios to solve similar-shape and compound-shape problems.</x:v>
      </x:c>
      <x:c r="K120" s="30" t="str"/>
      <x:c r="L120" s="30" t="str">
        <x:v>Book 2 · Shape and Space 7</x:v>
      </x:c>
      <x:c r="M120" s="30" t="str"/>
      <x:c r="N120" s="30"/>
      <x:c r="O120" s="30" t="str"/>
    </x:row>
    <x:row r="121" ht="39.599998474121094" hidden="0" customHeight="1">
      <x:c r="A121" s="30" t="str">
        <x:v>Summer</x:v>
      </x:c>
      <x:c r="B121" s="30" t="str">
        <x:v>S5A</x:v>
      </x:c>
      <x:c r="C121" s="30" t="str">
        <x:v>17-21 May 2027</x:v>
      </x:c>
      <x:c r="D121" s="32" t="n">
        <x:v>101</x:v>
      </x:c>
      <x:c r="E121" s="30" t="str">
        <x:v>Review</x:v>
      </x:c>
      <x:c r="F121" s="30" t="str">
        <x:v>Geometry / Measures</x:v>
      </x:c>
      <x:c r="G121" s="30" t="str">
        <x:v>Unit 9 — 3D geometry &amp; similarity (complete)</x:v>
      </x:c>
      <x:c r="H121" s="30" t="str">
        <x:v>5/5</x:v>
      </x:c>
      <x:c r="I121" s="30" t="str">
        <x:v>3D geometry and similarity consolidation</x:v>
      </x:c>
      <x:c r="J121" s="30" t="str">
        <x:v>Mixed 3D geometry and similarity exam-style questions.</x:v>
      </x:c>
      <x:c r="K121" s="30" t="str">
        <x:v>Group by need from recent exit tickets. Include stretch pathway for pupils ready for harder GCSE or problem-solving tasks.</x:v>
      </x:c>
      <x:c r="L121" s="30" t="str">
        <x:v>Book 2 · Shape and Space 7</x:v>
      </x:c>
      <x:c r="M121" s="30" t="str"/>
      <x:c r="N121" s="30"/>
      <x:c r="O121" s="30" t="str"/>
    </x:row>
    <x:row r="122" ht="39.599998474121094" hidden="0" customHeight="1">
      <x:c r="A122" s="30" t="str">
        <x:v>Summer</x:v>
      </x:c>
      <x:c r="B122" s="30" t="str">
        <x:v>S5A</x:v>
      </x:c>
      <x:c r="C122" s="30" t="str">
        <x:v>17-21 May 2027</x:v>
      </x:c>
      <x:c r="D122" s="32" t="n">
        <x:v>102</x:v>
      </x:c>
      <x:c r="E122" s="30" t="str">
        <x:v>Unit Assessment</x:v>
      </x:c>
      <x:c r="F122" s="30" t="str">
        <x:v>Geometry / Measures</x:v>
      </x:c>
      <x:c r="G122" s="30" t="str">
        <x:v>Unit 9 — 3D geometry &amp; similarity (complete)</x:v>
      </x:c>
      <x:c r="H122" s="30" t="str">
        <x:v>Assessment</x:v>
      </x:c>
      <x:c r="I122" s="30" t="str">
        <x:v>Unit 9 - 3D geometry &amp; similarity (complete) assessment</x:v>
      </x:c>
      <x:c r="J122" s="30" t="str">
        <x:v>End-of-unit assessment for Unit 9 — 3D geometry &amp; similarity (complete). Use results to inform reteaching, intervention and reporting evidence.</x:v>
      </x:c>
      <x:c r="K122" s="30" t="str">
        <x:v>Use access arrangements and clear success criteria. Follow with targeted reteaching where class data shows common misconceptions.</x:v>
      </x:c>
      <x:c r="L122" s="30" t="str">
        <x:v>Unit 9 assessment</x:v>
      </x:c>
      <x:c r="M122" s="30" t="str">
        <x:v>Unit Assessment</x:v>
      </x:c>
      <x:c r="N122" s="30" t="str">
        <x:v>Unit 9 — 3D geometry &amp; similarity (complete)</x:v>
      </x:c>
      <x:c r="O122" s="30" t="str"/>
    </x:row>
    <x:row r="123" ht="26.399999618530273" hidden="0" customHeight="1">
      <x:c r="A123" s="30" t="str">
        <x:v>Summer</x:v>
      </x:c>
      <x:c r="B123" s="30" t="str">
        <x:v>S6B</x:v>
      </x:c>
      <x:c r="C123" s="30" t="str">
        <x:v>24-28 May 2027</x:v>
      </x:c>
      <x:c r="D123" s="32" t="n">
        <x:v>103</x:v>
      </x:c>
      <x:c r="E123" s="30" t="str">
        <x:v>Revision</x:v>
      </x:c>
      <x:c r="F123" s="30" t="str">
        <x:v>Cross-strand</x:v>
      </x:c>
      <x:c r="G123" s="30" t="str">
        <x:v>Pre-exam revision</x:v>
      </x:c>
      <x:c r="H123" s="30" t="str">
        <x:v>1/3</x:v>
      </x:c>
      <x:c r="I123" s="30" t="str">
        <x:v>EoY revision lesson 1: Number, ratio and algebra retrieval</x:v>
      </x:c>
      <x:c r="J123" s="30" t="str">
        <x:v>Mixed retrieval from Units 1-5. Prioritise high-frequency IGCSE skills and common class errors.</x:v>
      </x:c>
      <x:c r="K123" s="30" t="str"/>
      <x:c r="L123" s="30" t="str">
        <x:v>Teacher-created revision</x:v>
      </x:c>
      <x:c r="M123" s="30" t="str">
        <x:v>Revision</x:v>
      </x:c>
      <x:c r="N123" s="30" t="str">
        <x:v>Pre-exam revision</x:v>
      </x:c>
      <x:c r="O123" s="30" t="str"/>
    </x:row>
    <x:row r="124" ht="26.399999618530273" hidden="0" customHeight="1">
      <x:c r="A124" s="30" t="str">
        <x:v>Summer</x:v>
      </x:c>
      <x:c r="B124" s="30" t="str">
        <x:v>S6B</x:v>
      </x:c>
      <x:c r="C124" s="30" t="str">
        <x:v>24-28 May 2027</x:v>
      </x:c>
      <x:c r="D124" s="32" t="n">
        <x:v>104</x:v>
      </x:c>
      <x:c r="E124" s="30" t="str">
        <x:v>Revision</x:v>
      </x:c>
      <x:c r="F124" s="30" t="str">
        <x:v>Cross-strand</x:v>
      </x:c>
      <x:c r="G124" s="30" t="str">
        <x:v>Pre-exam revision</x:v>
      </x:c>
      <x:c r="H124" s="30" t="str">
        <x:v>2/3</x:v>
      </x:c>
      <x:c r="I124" s="30" t="str">
        <x:v>EoY revision lesson 2: Geometry and graphs retrieval</x:v>
      </x:c>
      <x:c r="J124" s="30" t="str">
        <x:v>Mixed retrieval from Units 6-9. Focus on exam technique, diagrams, units and multi-step reasoning.</x:v>
      </x:c>
      <x:c r="K124" s="30" t="str"/>
      <x:c r="L124" s="30" t="str">
        <x:v>Teacher-created revision</x:v>
      </x:c>
      <x:c r="M124" s="30" t="str">
        <x:v>Revision</x:v>
      </x:c>
      <x:c r="N124" s="30" t="str">
        <x:v>Pre-exam revision</x:v>
      </x:c>
      <x:c r="O124" s="30" t="str"/>
    </x:row>
    <x:row r="125" ht="26.399999618530273" hidden="0" customHeight="1">
      <x:c r="A125" s="30" t="str">
        <x:v>Summer</x:v>
      </x:c>
      <x:c r="B125" s="30" t="str">
        <x:v>S6B</x:v>
      </x:c>
      <x:c r="C125" s="30" t="str">
        <x:v>24-28 May 2027</x:v>
      </x:c>
      <x:c r="D125" s="32" t="n">
        <x:v>105</x:v>
      </x:c>
      <x:c r="E125" s="30" t="str">
        <x:v>Revision</x:v>
      </x:c>
      <x:c r="F125" s="30" t="str">
        <x:v>Cross-strand</x:v>
      </x:c>
      <x:c r="G125" s="30" t="str">
        <x:v>Pre-exam revision</x:v>
      </x:c>
      <x:c r="H125" s="30" t="str">
        <x:v>3/3</x:v>
      </x:c>
      <x:c r="I125" s="30" t="str">
        <x:v>EoY revision lesson 3: Mixed paper practice and reflection</x:v>
      </x:c>
      <x:c r="J125" s="30" t="str">
        <x:v>Timed mixed practice followed by targeted self-correction and short reteaching of priority gaps.</x:v>
      </x:c>
      <x:c r="K125" s="30" t="str"/>
      <x:c r="L125" s="30" t="str">
        <x:v>Teacher-created revision</x:v>
      </x:c>
      <x:c r="M125" s="30" t="str">
        <x:v>Revision</x:v>
      </x:c>
      <x:c r="N125" s="30" t="str">
        <x:v>Pre-exam revision</x:v>
      </x:c>
      <x:c r="O125" s="30" t="str"/>
    </x:row>
    <x:row r="126" ht="26.399999618530273" hidden="0" customHeight="1">
      <x:c r="A126" s="30" t="str">
        <x:v>Summer</x:v>
      </x:c>
      <x:c r="B126" s="30" t="str">
        <x:v>S7A</x:v>
      </x:c>
      <x:c r="C126" s="30" t="str">
        <x:v>31 May-4 Jun 2027</x:v>
      </x:c>
      <x:c r="D126" s="32"/>
      <x:c r="E126" s="30" t="str">
        <x:v>Calendar Event</x:v>
      </x:c>
      <x:c r="F126" s="30"/>
      <x:c r="G126" s="30"/>
      <x:c r="H126" s="30"/>
      <x:c r="I126" s="30" t="str">
        <x:v>YEAR 7-9 SUMMER EXAMS - Mon 31 May to Wed 2 Jun</x:v>
      </x:c>
      <x:c r="J126" s="30" t="str">
        <x:v>Year 7-9 Summer exams Mon-Wed; national holidays Thu 3 Jun and Fri 4 Jun.</x:v>
      </x:c>
      <x:c r="K126" s="30"/>
      <x:c r="L126" s="30"/>
      <x:c r="M126" s="30" t="str">
        <x:v>Exam window</x:v>
      </x:c>
      <x:c r="N126" s="30"/>
      <x:c r="O126" s="30" t="str">
        <x:v>Placed in the academic-calendar week</x:v>
      </x:c>
    </x:row>
    <x:row r="127" ht="39.599998474121094" hidden="0" customHeight="1">
      <x:c r="A127" s="30" t="str">
        <x:v>Summer</x:v>
      </x:c>
      <x:c r="B127" s="30" t="str">
        <x:v>S7A</x:v>
      </x:c>
      <x:c r="C127" s="30" t="str">
        <x:v>31 May-4 Jun 2027</x:v>
      </x:c>
      <x:c r="D127" s="32" t="n">
        <x:v>106</x:v>
      </x:c>
      <x:c r="E127" s="30" t="str">
        <x:v>Exam</x:v>
      </x:c>
      <x:c r="F127" s="30" t="str">
        <x:v>Cross-strand</x:v>
      </x:c>
      <x:c r="G127" s="30" t="str">
        <x:v>End-of-Year Examination</x:v>
      </x:c>
      <x:c r="H127" s="30" t="str">
        <x:v>1/2</x:v>
      </x:c>
      <x:c r="I127" s="30" t="str">
        <x:v>End-of-Year Examination - Paper 1</x:v>
      </x:c>
      <x:c r="J127" s="30" t="str">
        <x:v>Year 9 Ma1 End-of-Year examination paper 1. Covers IGCSE normal Y10 Units 1-9 taught before the exam.</x:v>
      </x:c>
      <x:c r="K127" s="30" t="str">
        <x:v>Use access arrangements and clear success criteria. Follow with targeted reteaching where class data shows common misconceptions.</x:v>
      </x:c>
      <x:c r="L127" s="30" t="str">
        <x:v>School assessment</x:v>
      </x:c>
      <x:c r="M127" s="30" t="str">
        <x:v>Summative Exam</x:v>
      </x:c>
      <x:c r="N127" s="30" t="str">
        <x:v>End-of-Year Examination</x:v>
      </x:c>
      <x:c r="O127" s="30" t="str"/>
    </x:row>
    <x:row r="128" ht="39.599998474121094" hidden="0" customHeight="1">
      <x:c r="A128" s="30" t="str">
        <x:v>Summer</x:v>
      </x:c>
      <x:c r="B128" s="30" t="str">
        <x:v>S7A</x:v>
      </x:c>
      <x:c r="C128" s="30" t="str">
        <x:v>31 May-4 Jun 2027</x:v>
      </x:c>
      <x:c r="D128" s="32" t="n">
        <x:v>107</x:v>
      </x:c>
      <x:c r="E128" s="30" t="str">
        <x:v>Exam</x:v>
      </x:c>
      <x:c r="F128" s="30" t="str">
        <x:v>Cross-strand</x:v>
      </x:c>
      <x:c r="G128" s="30" t="str">
        <x:v>End-of-Year Examination</x:v>
      </x:c>
      <x:c r="H128" s="30" t="str">
        <x:v>2/2</x:v>
      </x:c>
      <x:c r="I128" s="30" t="str">
        <x:v>End-of-Year Examination - Paper 2</x:v>
      </x:c>
      <x:c r="J128" s="30" t="str">
        <x:v>Year 9 Ma1 End-of-Year examination paper 2. Covers IGCSE normal Y10 Units 1-9 taught before the exam.</x:v>
      </x:c>
      <x:c r="K128" s="30" t="str">
        <x:v>Use access arrangements and clear success criteria. Follow with targeted reteaching where class data shows common misconceptions.</x:v>
      </x:c>
      <x:c r="L128" s="30" t="str">
        <x:v>School assessment</x:v>
      </x:c>
      <x:c r="M128" s="30" t="str">
        <x:v>Summative Exam</x:v>
      </x:c>
      <x:c r="N128" s="30" t="str">
        <x:v>End-of-Year Examination</x:v>
      </x:c>
      <x:c r="O128" s="30" t="str"/>
    </x:row>
    <x:row r="129" ht="15" hidden="0" customHeight="1">
      <x:c r="A129" s="30" t="str">
        <x:v>Summer</x:v>
      </x:c>
      <x:c r="B129" s="30" t="str">
        <x:v>S8B</x:v>
      </x:c>
      <x:c r="C129" s="30" t="str">
        <x:v>7-11 Jun 2027</x:v>
      </x:c>
      <x:c r="D129" s="32"/>
      <x:c r="E129" s="30" t="str">
        <x:v>Calendar Event</x:v>
      </x:c>
      <x:c r="F129" s="30"/>
      <x:c r="G129" s="30"/>
      <x:c r="H129" s="30"/>
      <x:c r="I129" s="30" t="str">
        <x:v>FULL REPORT 4 OPENS - Mon 7 Jun</x:v>
      </x:c>
      <x:c r="J129" s="30" t="str">
        <x:v>Year 7-9 Full Report 4 opens Mon 7 Jun.</x:v>
      </x:c>
      <x:c r="K129" s="30"/>
      <x:c r="L129" s="30"/>
      <x:c r="M129" s="30" t="str">
        <x:v>Report window</x:v>
      </x:c>
      <x:c r="N129" s="30"/>
      <x:c r="O129" s="30" t="str">
        <x:v>Placed in the academic-calendar week</x:v>
      </x:c>
    </x:row>
    <x:row r="130" ht="52.79999923706055" hidden="0" customHeight="1">
      <x:c r="A130" s="30" t="str">
        <x:v>Summer</x:v>
      </x:c>
      <x:c r="B130" s="30" t="str">
        <x:v>S8B</x:v>
      </x:c>
      <x:c r="C130" s="30" t="str">
        <x:v>7-11 Jun 2027</x:v>
      </x:c>
      <x:c r="D130" s="32" t="n">
        <x:v>108</x:v>
      </x:c>
      <x:c r="E130" s="30" t="str">
        <x:v>Teaching</x:v>
      </x:c>
      <x:c r="F130" s="30" t="str">
        <x:v>Statistics</x:v>
      </x:c>
      <x:c r="G130" s="30" t="str">
        <x:v>Unit 10 — Statistics (complete)</x:v>
      </x:c>
      <x:c r="H130" s="30" t="str">
        <x:v>1/6</x:v>
      </x:c>
      <x:c r="I130" s="30" t="str">
        <x:v>Data representation</x:v>
      </x:c>
      <x:c r="J130" s="30" t="str">
        <x:v>Construct and interpret bar charts, pie charts, frequency polygons, stem-and-leaf and grouped tables.</x:v>
      </x:c>
      <x:c r="K130" s="30" t="str">
        <x:v>Top set: use GCSE extension questions, proof prompts and non-routine contexts. Scaffold with retrieval starters and worked-example fading where needed.</x:v>
      </x:c>
      <x:c r="L130" s="30" t="str">
        <x:v>Book 1 · Handling Data 1/2</x:v>
      </x:c>
      <x:c r="M130" s="30" t="str"/>
      <x:c r="N130" s="30"/>
      <x:c r="O130" s="30" t="str"/>
    </x:row>
    <x:row r="131" ht="52.79999923706055" hidden="0" customHeight="1">
      <x:c r="A131" s="30" t="str">
        <x:v>Summer</x:v>
      </x:c>
      <x:c r="B131" s="30" t="str">
        <x:v>S8B</x:v>
      </x:c>
      <x:c r="C131" s="30" t="str">
        <x:v>7-11 Jun 2027</x:v>
      </x:c>
      <x:c r="D131" s="32" t="n">
        <x:v>109</x:v>
      </x:c>
      <x:c r="E131" s="30" t="str">
        <x:v>Teaching</x:v>
      </x:c>
      <x:c r="F131" s="30" t="str">
        <x:v>Statistics</x:v>
      </x:c>
      <x:c r="G131" s="30" t="str">
        <x:v>Unit 10 — Statistics (complete)</x:v>
      </x:c>
      <x:c r="H131" s="30" t="str">
        <x:v>2/6</x:v>
      </x:c>
      <x:c r="I131" s="30" t="str">
        <x:v>Statistical measures</x:v>
      </x:c>
      <x:c r="J131" s="30" t="str">
        <x:v>Find mean, estimated mean, median, mode, range, IQR and compare distributions.</x:v>
      </x:c>
      <x:c r="K131" s="30" t="str">
        <x:v>Top set: use GCSE extension questions, proof prompts and non-routine contexts. Scaffold with retrieval starters and worked-example fading where needed.</x:v>
      </x:c>
      <x:c r="L131" s="30" t="str">
        <x:v>Book 1 · Handling Data 1/3</x:v>
      </x:c>
      <x:c r="M131" s="30" t="str"/>
      <x:c r="N131" s="30"/>
      <x:c r="O131" s="30" t="str"/>
    </x:row>
    <x:row r="132" ht="52.79999923706055" hidden="0" customHeight="1">
      <x:c r="A132" s="30" t="str">
        <x:v>Summer</x:v>
      </x:c>
      <x:c r="B132" s="30" t="str">
        <x:v>S8B</x:v>
      </x:c>
      <x:c r="C132" s="30" t="str">
        <x:v>7-11 Jun 2027</x:v>
      </x:c>
      <x:c r="D132" s="32" t="n">
        <x:v>110</x:v>
      </x:c>
      <x:c r="E132" s="30" t="str">
        <x:v>Teaching</x:v>
      </x:c>
      <x:c r="F132" s="30" t="str">
        <x:v>Statistics</x:v>
      </x:c>
      <x:c r="G132" s="30" t="str">
        <x:v>Unit 10 — Statistics (complete)</x:v>
      </x:c>
      <x:c r="H132" s="30" t="str">
        <x:v>3/6</x:v>
      </x:c>
      <x:c r="I132" s="30" t="str">
        <x:v>Scatter graphs and correlation</x:v>
      </x:c>
      <x:c r="J132" s="30" t="str">
        <x:v>Draw and interpret scatter graphs, correlation and lines of best fit.</x:v>
      </x:c>
      <x:c r="K132" s="30" t="str">
        <x:v>Top set: use GCSE extension questions, proof prompts and non-routine contexts. Scaffold with retrieval starters and worked-example fading where needed.</x:v>
      </x:c>
      <x:c r="L132" s="30" t="str">
        <x:v>Book 1 · Handling Data 1</x:v>
      </x:c>
      <x:c r="M132" s="30" t="str"/>
      <x:c r="N132" s="30"/>
      <x:c r="O132" s="30" t="str"/>
    </x:row>
    <x:row r="133" ht="26.399999618530273" hidden="0" customHeight="1">
      <x:c r="A133" s="30" t="str">
        <x:v>Summer</x:v>
      </x:c>
      <x:c r="B133" s="30" t="str">
        <x:v>S9A</x:v>
      </x:c>
      <x:c r="C133" s="30" t="str">
        <x:v>14-18 Jun 2027</x:v>
      </x:c>
      <x:c r="D133" s="32"/>
      <x:c r="E133" s="30" t="str">
        <x:v>Calendar Event</x:v>
      </x:c>
      <x:c r="F133" s="30"/>
      <x:c r="G133" s="30"/>
      <x:c r="H133" s="30"/>
      <x:c r="I133" s="30" t="str">
        <x:v>FULL REPORT 4 CLOSES - Tue 15 Jun</x:v>
      </x:c>
      <x:c r="J133" s="30" t="str">
        <x:v>Year 7-9 Full Report 4 closes Tue 15 Jun; student reflection Wed 16 Jun; HoD/HoF checking Fri 18 Jun.</x:v>
      </x:c>
      <x:c r="K133" s="30"/>
      <x:c r="L133" s="30"/>
      <x:c r="M133" s="30" t="str">
        <x:v>Report window</x:v>
      </x:c>
      <x:c r="N133" s="30"/>
      <x:c r="O133" s="30" t="str">
        <x:v>Placed in the academic-calendar week</x:v>
      </x:c>
    </x:row>
    <x:row r="134" ht="52.79999923706055" hidden="0" customHeight="1">
      <x:c r="A134" s="30" t="str">
        <x:v>Summer</x:v>
      </x:c>
      <x:c r="B134" s="30" t="str">
        <x:v>S9A</x:v>
      </x:c>
      <x:c r="C134" s="30" t="str">
        <x:v>14-18 Jun 2027</x:v>
      </x:c>
      <x:c r="D134" s="32" t="n">
        <x:v>111</x:v>
      </x:c>
      <x:c r="E134" s="30" t="str">
        <x:v>Teaching</x:v>
      </x:c>
      <x:c r="F134" s="30" t="str">
        <x:v>Statistics</x:v>
      </x:c>
      <x:c r="G134" s="30" t="str">
        <x:v>Unit 10 — Statistics (complete)</x:v>
      </x:c>
      <x:c r="H134" s="30" t="str">
        <x:v>4/6</x:v>
      </x:c>
      <x:c r="I134" s="30" t="str">
        <x:v>Histograms</x:v>
      </x:c>
      <x:c r="J134" s="30" t="str">
        <x:v>Use frequency density to construct and interpret histograms with unequal class widths.</x:v>
      </x:c>
      <x:c r="K134" s="30" t="str">
        <x:v>Top set: use GCSE extension questions, proof prompts and non-routine contexts. Scaffold with retrieval starters and worked-example fading where needed.</x:v>
      </x:c>
      <x:c r="L134" s="30" t="str">
        <x:v>Book 2 · Handling Data 6</x:v>
      </x:c>
      <x:c r="M134" s="30" t="str"/>
      <x:c r="N134" s="30"/>
      <x:c r="O134" s="30" t="str"/>
    </x:row>
    <x:row r="135" ht="52.79999923706055" hidden="0" customHeight="1">
      <x:c r="A135" s="30" t="str">
        <x:v>Summer</x:v>
      </x:c>
      <x:c r="B135" s="30" t="str">
        <x:v>S9A</x:v>
      </x:c>
      <x:c r="C135" s="30" t="str">
        <x:v>14-18 Jun 2027</x:v>
      </x:c>
      <x:c r="D135" s="32" t="n">
        <x:v>112</x:v>
      </x:c>
      <x:c r="E135" s="30" t="str">
        <x:v>Teaching</x:v>
      </x:c>
      <x:c r="F135" s="30" t="str">
        <x:v>Statistics</x:v>
      </x:c>
      <x:c r="G135" s="30" t="str">
        <x:v>Unit 10 — Statistics (complete)</x:v>
      </x:c>
      <x:c r="H135" s="30" t="str">
        <x:v>5/6</x:v>
      </x:c>
      <x:c r="I135" s="30" t="str">
        <x:v>Cumulative frequency and box plots</x:v>
      </x:c>
      <x:c r="J135" s="30" t="str">
        <x:v>Construct cumulative frequency curves and box plots; estimate median and IQR.</x:v>
      </x:c>
      <x:c r="K135" s="30" t="str">
        <x:v>Top set: use GCSE extension questions, proof prompts and non-routine contexts. Scaffold with retrieval starters and worked-example fading where needed.</x:v>
      </x:c>
      <x:c r="L135" s="30" t="str">
        <x:v>Book 1 · Handling Data 3</x:v>
      </x:c>
      <x:c r="M135" s="30" t="str"/>
      <x:c r="N135" s="30"/>
      <x:c r="O135" s="30" t="str"/>
    </x:row>
    <x:row r="136" ht="39.599998474121094" hidden="0" customHeight="1">
      <x:c r="A136" s="30" t="str">
        <x:v>Summer</x:v>
      </x:c>
      <x:c r="B136" s="30" t="str">
        <x:v>S9A</x:v>
      </x:c>
      <x:c r="C136" s="30" t="str">
        <x:v>14-18 Jun 2027</x:v>
      </x:c>
      <x:c r="D136" s="32" t="n">
        <x:v>113</x:v>
      </x:c>
      <x:c r="E136" s="30" t="str">
        <x:v>Review</x:v>
      </x:c>
      <x:c r="F136" s="30" t="str">
        <x:v>Statistics</x:v>
      </x:c>
      <x:c r="G136" s="30" t="str">
        <x:v>Unit 10 — Statistics (complete)</x:v>
      </x:c>
      <x:c r="H136" s="30" t="str">
        <x:v>6/6</x:v>
      </x:c>
      <x:c r="I136" s="30" t="str">
        <x:v>Statistics consolidation</x:v>
      </x:c>
      <x:c r="J136" s="30" t="str">
        <x:v>Mixed statistics exam-style questions and interpretation practice.</x:v>
      </x:c>
      <x:c r="K136" s="30" t="str">
        <x:v>Group by need from recent exit tickets. Include stretch pathway for pupils ready for harder GCSE or problem-solving tasks.</x:v>
      </x:c>
      <x:c r="L136" s="30" t="str">
        <x:v>Y10 unit consolidation</x:v>
      </x:c>
      <x:c r="M136" s="30" t="str"/>
      <x:c r="N136" s="30"/>
      <x:c r="O136" s="30" t="str"/>
    </x:row>
    <x:row r="137" ht="39.599998474121094" hidden="0" customHeight="1">
      <x:c r="A137" s="30" t="str">
        <x:v>Summer</x:v>
      </x:c>
      <x:c r="B137" s="30" t="str">
        <x:v>S9A</x:v>
      </x:c>
      <x:c r="C137" s="30" t="str">
        <x:v>14-18 Jun 2027</x:v>
      </x:c>
      <x:c r="D137" s="32" t="n">
        <x:v>114</x:v>
      </x:c>
      <x:c r="E137" s="30" t="str">
        <x:v>Unit Assessment</x:v>
      </x:c>
      <x:c r="F137" s="30" t="str">
        <x:v>Statistics</x:v>
      </x:c>
      <x:c r="G137" s="30" t="str">
        <x:v>Unit 10 — Statistics (complete)</x:v>
      </x:c>
      <x:c r="H137" s="30" t="str">
        <x:v>Assessment</x:v>
      </x:c>
      <x:c r="I137" s="30" t="str">
        <x:v>Unit 10 - Statistics (complete) assessment</x:v>
      </x:c>
      <x:c r="J137" s="30" t="str">
        <x:v>End-of-unit assessment for Unit 10 — Statistics (complete). Use results to inform reteaching, intervention and reporting evidence.</x:v>
      </x:c>
      <x:c r="K137" s="30" t="str">
        <x:v>Use access arrangements and clear success criteria. Follow with targeted reteaching where class data shows common misconceptions.</x:v>
      </x:c>
      <x:c r="L137" s="30" t="str">
        <x:v>Unit 10 assessment</x:v>
      </x:c>
      <x:c r="M137" s="30" t="str">
        <x:v>Unit Assessment</x:v>
      </x:c>
      <x:c r="N137" s="30" t="str">
        <x:v>Unit 10 — Statistics (complete)</x:v>
      </x:c>
      <x:c r="O137" s="30" t="str"/>
    </x:row>
    <x:row r="138" ht="26.399999618530273" hidden="0" customHeight="1">
      <x:c r="A138" s="30" t="str">
        <x:v>Summer</x:v>
      </x:c>
      <x:c r="B138" s="30" t="str">
        <x:v>S10B</x:v>
      </x:c>
      <x:c r="C138" s="30" t="str">
        <x:v>21-25 Jun 2027</x:v>
      </x:c>
      <x:c r="D138" s="32"/>
      <x:c r="E138" s="30" t="str">
        <x:v>Calendar Event</x:v>
      </x:c>
      <x:c r="F138" s="30"/>
      <x:c r="G138" s="30"/>
      <x:c r="H138" s="30"/>
      <x:c r="I138" s="30" t="str">
        <x:v>FULL REPORT 4 SLT/HoY CHECKING - Fri 25 Jun</x:v>
      </x:c>
      <x:c r="J138" s="30" t="str">
        <x:v>SLT/HoY checking completion of Year 7-9 Full Report 4 by noon Fri 25 Jun.</x:v>
      </x:c>
      <x:c r="K138" s="30"/>
      <x:c r="L138" s="30"/>
      <x:c r="M138" s="30" t="str">
        <x:v>Report window</x:v>
      </x:c>
      <x:c r="N138" s="30"/>
      <x:c r="O138" s="30" t="str">
        <x:v>Placed in the academic-calendar week</x:v>
      </x:c>
    </x:row>
    <x:row r="139" ht="39.599998474121094" hidden="0" customHeight="1">
      <x:c r="A139" s="30" t="str">
        <x:v>Summer</x:v>
      </x:c>
      <x:c r="B139" s="30" t="str">
        <x:v>S10B</x:v>
      </x:c>
      <x:c r="C139" s="30" t="str">
        <x:v>21-25 Jun 2027</x:v>
      </x:c>
      <x:c r="D139" s="32" t="n">
        <x:v>115</x:v>
      </x:c>
      <x:c r="E139" s="30" t="str">
        <x:v>Consolidation</x:v>
      </x:c>
      <x:c r="F139" s="30" t="str">
        <x:v>Statistics / Transition</x:v>
      </x:c>
      <x:c r="G139" s="30" t="str">
        <x:v>Post-EoY consolidation</x:v>
      </x:c>
      <x:c r="H139" s="30" t="str">
        <x:v>1/3</x:v>
      </x:c>
      <x:c r="I139" s="30" t="str">
        <x:v>Statistics fluency and interpretation practice</x:v>
      </x:c>
      <x:c r="J139" s="30" t="str">
        <x:v>Use Unit 10 results for targeted feedback, interpretation practice and short exam-style questions.</x:v>
      </x:c>
      <x:c r="K139" s="30" t="str">
        <x:v>Group by need from recent exit tickets. Include stretch pathway for pupils ready for harder GCSE or problem-solving tasks.</x:v>
      </x:c>
      <x:c r="L139" s="30" t="str">
        <x:v>Teacher-created GCSE statistics practice</x:v>
      </x:c>
      <x:c r="M139" s="30" t="str">
        <x:v>Formative</x:v>
      </x:c>
      <x:c r="N139" s="30" t="str">
        <x:v>Post-EoY consolidation</x:v>
      </x:c>
      <x:c r="O139" s="30" t="str">
        <x:v>No new unit starts in final pre-break weeks.</x:v>
      </x:c>
    </x:row>
    <x:row r="140" ht="39.599998474121094" hidden="0" customHeight="1">
      <x:c r="A140" s="30" t="str">
        <x:v>Summer</x:v>
      </x:c>
      <x:c r="B140" s="30" t="str">
        <x:v>S10B</x:v>
      </x:c>
      <x:c r="C140" s="30" t="str">
        <x:v>21-25 Jun 2027</x:v>
      </x:c>
      <x:c r="D140" s="32" t="n">
        <x:v>116</x:v>
      </x:c>
      <x:c r="E140" s="30" t="str">
        <x:v>Consolidation</x:v>
      </x:c>
      <x:c r="F140" s="30" t="str">
        <x:v>Transition</x:v>
      </x:c>
      <x:c r="G140" s="30" t="str">
        <x:v>Year 10 readiness</x:v>
      </x:c>
      <x:c r="H140" s="30" t="str">
        <x:v>2/3</x:v>
      </x:c>
      <x:c r="I140" s="30" t="str">
        <x:v>Year 10 readiness: algebra and graph retrieval</x:v>
      </x:c>
      <x:c r="J140" s="30" t="str">
        <x:v>Return key assessments, review high-priority Year 10 IGCSE gaps and set summer retrieval priorities.</x:v>
      </x:c>
      <x:c r="K140" s="30" t="str">
        <x:v>Group by need from recent exit tickets. Include stretch pathway for pupils ready for harder GCSE or problem-solving tasks.</x:v>
      </x:c>
      <x:c r="L140" s="30" t="str">
        <x:v>Teacher-created transition lesson</x:v>
      </x:c>
      <x:c r="M140" s="30" t="str">
        <x:v>Formative</x:v>
      </x:c>
      <x:c r="N140" s="30" t="str">
        <x:v>Year 10 readiness</x:v>
      </x:c>
      <x:c r="O140" s="30" t="str">
        <x:v>No new unit starts in final pre-break weeks.</x:v>
      </x:c>
    </x:row>
    <x:row r="141" ht="39.599998474121094" hidden="0" customHeight="1">
      <x:c r="A141" s="30" t="str">
        <x:v>Summer</x:v>
      </x:c>
      <x:c r="B141" s="30" t="str">
        <x:v>S10B</x:v>
      </x:c>
      <x:c r="C141" s="30" t="str">
        <x:v>21-25 Jun 2027</x:v>
      </x:c>
      <x:c r="D141" s="32" t="n">
        <x:v>117</x:v>
      </x:c>
      <x:c r="E141" s="30" t="str">
        <x:v>Consolidation</x:v>
      </x:c>
      <x:c r="F141" s="30" t="str">
        <x:v>Transition</x:v>
      </x:c>
      <x:c r="G141" s="30" t="str">
        <x:v>Year 10 readiness</x:v>
      </x:c>
      <x:c r="H141" s="30" t="str">
        <x:v>3/3</x:v>
      </x:c>
      <x:c r="I141" s="30" t="str">
        <x:v>End-of-year enrichment or admin buffer</x:v>
      </x:c>
      <x:c r="J141" s="30" t="str">
        <x:v>Optional enrichment, returns, administration or celebration. No new required curriculum content.</x:v>
      </x:c>
      <x:c r="K141" s="30" t="str">
        <x:v>Group by need from recent exit tickets. Include stretch pathway for pupils ready for harder GCSE or problem-solving tasks.</x:v>
      </x:c>
      <x:c r="L141" s="30" t="str">
        <x:v>Teacher-created transition lesson</x:v>
      </x:c>
      <x:c r="M141" s="30" t="str">
        <x:v>Optional</x:v>
      </x:c>
      <x:c r="N141" s="30" t="str">
        <x:v>Year 10 readiness</x:v>
      </x:c>
      <x:c r="O141" s="30" t="str">
        <x:v>No new unit starts in final pre-break weeks.</x:v>
      </x:c>
    </x:row>
    <x:row r="142" ht="15" hidden="0" customHeight="1">
      <x:c r="A142" s="30" t="str">
        <x:v>Summer</x:v>
      </x:c>
      <x:c r="B142" s="30" t="str">
        <x:v>S11A</x:v>
      </x:c>
      <x:c r="C142" s="30" t="str">
        <x:v>28-30 Jun 2027</x:v>
      </x:c>
      <x:c r="D142" s="32"/>
      <x:c r="E142" s="30" t="str">
        <x:v>Calendar Event</x:v>
      </x:c>
      <x:c r="F142" s="30"/>
      <x:c r="G142" s="30"/>
      <x:c r="H142" s="30"/>
      <x:c r="I142" s="30" t="str">
        <x:v>FULL REPORT 4 PUBLISHES - Mon 28 Jun</x:v>
      </x:c>
      <x:c r="J142" s="30" t="str">
        <x:v>Year 7-9 Full Report 4 publishes Mon 28 Jun; term ends Wed 30 Jun.</x:v>
      </x:c>
      <x:c r="K142" s="30"/>
      <x:c r="L142" s="30"/>
      <x:c r="M142" s="30" t="str">
        <x:v>Report window</x:v>
      </x:c>
      <x:c r="N142" s="30"/>
      <x:c r="O142" s="30" t="str">
        <x:v>Placed in the academic-calendar week</x:v>
      </x:c>
    </x:row>
    <x:row r="143" ht="39.599998474121094" hidden="0" customHeight="1">
      <x:c r="A143" s="30" t="str">
        <x:v>Summer</x:v>
      </x:c>
      <x:c r="B143" s="30" t="str">
        <x:v>S11A</x:v>
      </x:c>
      <x:c r="C143" s="30" t="str">
        <x:v>28-30 Jun 2027</x:v>
      </x:c>
      <x:c r="D143" s="32"/>
      <x:c r="E143" s="30" t="str">
        <x:v>Off timetable</x:v>
      </x:c>
      <x:c r="F143" s="30"/>
      <x:c r="G143" s="30"/>
      <x:c r="H143" s="30"/>
      <x:c r="I143" s="30" t="str">
        <x:v>OFF-TIMETABLE / END OF YEAR ACTIVITIES</x:v>
      </x:c>
      <x:c r="J143" s="30" t="str">
        <x:v>No new teaching, no unit assessment and no required curriculum content scheduled in the final week. Use only for returns, administration, celebration or optional enrichment if lessons happen.</x:v>
      </x:c>
      <x:c r="K143" s="30"/>
      <x:c r="L143" s="30" t="str">
        <x:v>School calendar</x:v>
      </x:c>
      <x:c r="M143" s="30"/>
      <x:c r="N143" s="30"/>
      <x:c r="O143" s="30" t="str">
        <x:v>Final week treated as non-teaching</x:v>
      </x:c>
    </x:row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O1"/>
    <x:mergeCell ref="A2:O2"/>
  </x:mergeCells>
  <x:conditionalFormatting sqref="A5:O143">
    <x:cfRule type="expression" dxfId="0" priority="1">
      <x:formula>$E5="Unit Assessment"</x:formula>
    </x:cfRule>
    <x:cfRule type="expression" dxfId="1" priority="2">
      <x:formula>$E5="Exam"</x:formula>
    </x:cfRule>
    <x:cfRule type="expression" dxfId="2" priority="3">
      <x:formula>$E5="School Break"</x:formula>
    </x:cfRule>
    <x:cfRule type="expression" dxfId="3" priority="4">
      <x:formula>$E5="Off timetable"</x:formula>
    </x:cfRule>
    <x:cfRule type="expression" dxfId="4" priority="5">
      <x:formula>$E5="Calendar Event"</x:formula>
    </x:cfRule>
    <x:cfRule type="expression" dxfId="5" priority="6">
      <x:formula>$E5="Revision"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a33a7e03174e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68" hidden="0" customWidth="1"/>
    <x:col min="4" max="4" width="12" hidden="0" customWidth="1"/>
  </x:cols>
  <x:sheetData>
    <x:row r="1" ht="15" hidden="0" customHeight="1">
      <x:c r="A1" s="34" t="str">
        <x:v>Metric</x:v>
      </x:c>
      <x:c r="B1" s="34" t="str">
        <x:v>Value</x:v>
      </x:c>
      <x:c r="C1" s="34" t="str">
        <x:v>Notes</x:v>
      </x:c>
      <x:c r="D1" s="34" t="str">
        <x:v>Status</x:v>
      </x:c>
    </x:row>
    <x:row r="2" ht="26.399999618530273" hidden="0" customHeight="1">
      <x:c r="A2" s="28" t="str">
        <x:v>Usable lesson slots</x:v>
      </x:c>
      <x:c r="B2" s="28" t="n">
        <x:v>117</x:v>
      </x:c>
      <x:c r="C2" s="28" t="str">
        <x:v>S11A is off-timetable. S7A is exam week. Break and Adventure Week rows are visible but not counted as lessons.</x:v>
      </x:c>
      <x:c r="D2" s="28" t="str">
        <x:v>OK</x:v>
      </x:c>
    </x:row>
    <x:row r="3" ht="15" hidden="0" customHeight="1">
      <x:c r="A3" s="28" t="str">
        <x:v>Induction / diagnostic lessons</x:v>
      </x:c>
      <x:c r="B3" s="28" t="n">
        <x:v>2</x:v>
      </x:c>
      <x:c r="C3" s="28" t="str">
        <x:v>M1A only. No IGCSE unit starts in the first week.</x:v>
      </x:c>
      <x:c r="D3" s="28" t="str">
        <x:v>OK</x:v>
      </x:c>
    </x:row>
    <x:row r="4" ht="26.399999618530273" hidden="0" customHeight="1">
      <x:c r="A4" s="28" t="str">
        <x:v>IGCSE teaching/review/consolidation lessons</x:v>
      </x:c>
      <x:c r="B4" s="28" t="n">
        <x:f>COUNTIF('Y9 Ma1 SoW 2026-27'!E:E,"Teaching")+COUNTIF('Y9 Ma1 SoW 2026-27'!E:E,"Review")+COUNTIF('Y9 Ma1 SoW 2026-27'!E:E,"Consolidation")</x:f>
        <x:v>99</x:v>
      </x:c>
      <x:c r="C4" s="28" t="str">
        <x:v>Includes selective consolidation, top-set extension and post-EoY readiness work.</x:v>
      </x:c>
      <x:c r="D4" s="28" t="str">
        <x:v>OK</x:v>
      </x:c>
    </x:row>
    <x:row r="5" ht="15" hidden="0" customHeight="1">
      <x:c r="A5" s="28" t="str">
        <x:v>Unit assessments</x:v>
      </x:c>
      <x:c r="B5" s="28" t="n">
        <x:f>COUNTIF('Y9 Ma1 SoW 2026-27'!E:E,"Unit Assessment")</x:f>
        <x:v>10</x:v>
      </x:c>
      <x:c r="C5" s="28" t="str">
        <x:v>One assessment after every IGCSE Y10 unit. No combined unit tests.</x:v>
      </x:c>
      <x:c r="D5" s="28" t="str">
        <x:v>OK</x:v>
      </x:c>
    </x:row>
    <x:row r="6" ht="15" hidden="0" customHeight="1">
      <x:c r="A6" s="28" t="str">
        <x:v>Correction/reflection lessons</x:v>
      </x:c>
      <x:c r="B6" s="28" t="n">
        <x:f>COUNTIF('Y9 Ma1 SoW 2026-27'!E:E,"Correction / Reflection")</x:f>
        <x:v>1</x:v>
      </x:c>
      <x:c r="C6" s="28" t="str">
        <x:v>Only Unit 5 has a dedicated correction/reflection lesson due to its high algebra load.</x:v>
      </x:c>
      <x:c r="D6" s="28" t="str">
        <x:v>OK</x:v>
      </x:c>
    </x:row>
    <x:row r="7" ht="15" hidden="0" customHeight="1">
      <x:c r="A7" s="28" t="str">
        <x:v>Revision before EoY</x:v>
      </x:c>
      <x:c r="B7" s="28" t="n">
        <x:f>COUNTIF('Y9 Ma1 SoW 2026-27'!E:E,"Revision")</x:f>
        <x:v>3</x:v>
      </x:c>
      <x:c r="C7" s="28" t="str">
        <x:v>Three focused revision lessons in S6B before the S7A exam window.</x:v>
      </x:c>
      <x:c r="D7" s="28" t="str">
        <x:v>OK</x:v>
      </x:c>
    </x:row>
    <x:row r="8" ht="15" hidden="0" customHeight="1">
      <x:c r="A8" s="28" t="str">
        <x:v>EoY exam lessons</x:v>
      </x:c>
      <x:c r="B8" s="28" t="n">
        <x:f>COUNTIF('Y9 Ma1 SoW 2026-27'!E:E,"Exam")</x:f>
        <x:v>2</x:v>
      </x:c>
      <x:c r="C8" s="28" t="str">
        <x:v>Placed in S7A, the Year 7-9 summer exam week.</x:v>
      </x:c>
      <x:c r="D8" s="28" t="str">
        <x:v>OK</x:v>
      </x:c>
    </x:row>
    <x:row r="9" ht="26.399999618530273" hidden="0" customHeight="1">
      <x:c r="A9" s="28" t="str">
        <x:v>Post-EoY teaching / assessment</x:v>
      </x:c>
      <x:c r="B9" s="28" t="n">
        <x:v>10</x:v>
      </x:c>
      <x:c r="C9" s="28" t="str">
        <x:v>Unit 10 Statistics is taught and assessed after EoY, then S10B has readiness/consolidation.</x:v>
      </x:c>
      <x:c r="D9" s="28" t="str">
        <x:v>OK</x:v>
      </x:c>
    </x:row>
    <x:row r="10" ht="15" hidden="0" customHeight="1">
      <x:c r="A10" s="28" t="str">
        <x:v>Final week S11A</x:v>
      </x:c>
      <x:c r="B10" s="28" t="str">
        <x:v>Off timetable</x:v>
      </x:c>
      <x:c r="C10" s="28" t="str">
        <x:v>No required Maths teaching, assessment or revision is scheduled in S11A.</x:v>
      </x:c>
      <x:c r="D10" s="28" t="str">
        <x:v>OK</x:v>
      </x:c>
    </x:row>
    <x:row r="11" ht="15" hidden="0" customHeight="1">
      <x:c r="A11" s="28" t="str">
        <x:v>No new unit before breaks</x:v>
      </x:c>
      <x:c r="B11" s="28" t="str">
        <x:v>Checked</x:v>
      </x:c>
      <x:c r="C11" s="28" t="str">
        <x:v>No new unit starts in M8B, M16B, L6B, L12B or S10B.</x:v>
      </x:c>
      <x:c r="D11" s="28" t="str">
        <x:v>OK</x:v>
      </x:c>
    </x:row>
    <x:row r="12" ht="15" hidden="0" customHeight="1">
      <x:c r="A12" s="28" t="str">
        <x:v>Source course</x:v>
      </x:c>
      <x:c r="B12" s="28" t="str">
        <x:v>KS4 Normal Y10</x:v>
      </x:c>
      <x:c r="C12" s="28" t="str">
        <x:v>Uses the uploaded KS4-Normal Year 10 detailed sequence and textbook map.</x:v>
      </x:c>
      <x:c r="D12" s="28" t="str">
        <x:v>OK</x:v>
      </x:c>
    </x:row>
    <x:row r="13" ht="26.399999618530273" hidden="0" customHeight="1">
      <x:c r="A13" s="28" t="str">
        <x:v>Pacing judgement</x:v>
      </x:c>
      <x:c r="B13" s="28" t="str">
        <x:v>Top-set compression</x:v>
      </x:c>
      <x:c r="C13" s="28" t="str">
        <x:v>Several topics are combined for Ma1 because the class uses IGCSE Y10 content in Year 9. Core algebra, number, geometry and trigonometry are protected.</x:v>
      </x:c>
      <x:c r="D13" s="28" t="str">
        <x:v>Note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8" hidden="0" customWidth="1"/>
    <x:col min="4" max="4" width="28" hidden="0" customWidth="1"/>
  </x:cols>
  <x:sheetData>
    <x:row r="1" ht="15" hidden="0" customHeight="1">
      <x:c r="A1" s="34" t="str">
        <x:v>Section</x:v>
      </x:c>
      <x:c r="B1" s="34" t="str">
        <x:v>Item</x:v>
      </x:c>
      <x:c r="C1" s="34" t="str">
        <x:v>Details</x:v>
      </x:c>
      <x:c r="D1" s="34" t="str">
        <x:v>Notes</x:v>
      </x:c>
    </x:row>
    <x:row r="2" ht="26.399999618530273" hidden="0" customHeight="1">
      <x:c r="A2" s="28" t="str">
        <x:v>Core criteria</x:v>
      </x:c>
      <x:c r="B2" s="28" t="str">
        <x:v>Teaching start</x:v>
      </x:c>
      <x:c r="C2" s="28" t="str">
        <x:v>M1A is induction, routines and diagnostic. IGCSE teaching starts in M2B.</x:v>
      </x:c>
      <x:c r="D2" s="28" t="str">
        <x:v>Same structure as revised Year 7, Year 8 and Year 9 SoWs.</x:v>
      </x:c>
    </x:row>
    <x:row r="3" ht="26.399999618530273" hidden="0" customHeight="1">
      <x:c r="A3" s="28" t="str">
        <x:v>Core criteria</x:v>
      </x:c>
      <x:c r="B3" s="28" t="str">
        <x:v>Course basis</x:v>
      </x:c>
      <x:c r="C3" s="28" t="str">
        <x:v>Pearson Edexcel IGCSE 4MA1 Higher, using the KS4 Normal Y10 sequence.</x:v>
      </x:c>
      <x:c r="D3" s="28" t="str">
        <x:v>For Year 9 Ma1 top set.</x:v>
      </x:c>
    </x:row>
    <x:row r="4" ht="15" hidden="0" customHeight="1">
      <x:c r="A4" s="28" t="str">
        <x:v>Core criteria</x:v>
      </x:c>
      <x:c r="B4" s="28" t="str">
        <x:v>Unit assessment</x:v>
      </x:c>
      <x:c r="C4" s="28" t="str">
        <x:v>Every unit has its own end-of-unit assessment.</x:v>
      </x:c>
      <x:c r="D4" s="28" t="str">
        <x:v>No combined unit tests.</x:v>
      </x:c>
    </x:row>
    <x:row r="5" ht="26.399999618530273" hidden="0" customHeight="1">
      <x:c r="A5" s="28" t="str">
        <x:v>Core criteria</x:v>
      </x:c>
      <x:c r="B5" s="28" t="str">
        <x:v>Pre-break rule</x:v>
      </x:c>
      <x:c r="C5" s="28" t="str">
        <x:v>No new unit starts in the final week before half-term or term breaks.</x:v>
      </x:c>
      <x:c r="D5" s="28" t="str">
        <x:v>M8B, M16B, L6B, L12B and S10B checked.</x:v>
      </x:c>
    </x:row>
    <x:row r="6" ht="15" hidden="0" customHeight="1">
      <x:c r="A6" s="28" t="str">
        <x:v>Core criteria</x:v>
      </x:c>
      <x:c r="B6" s="28" t="str">
        <x:v>EoY revision</x:v>
      </x:c>
      <x:c r="C6" s="28" t="str">
        <x:v>Three revision lessons before the EoY exam.</x:v>
      </x:c>
      <x:c r="D6" s="28" t="str">
        <x:v>Placed in S6B.</x:v>
      </x:c>
    </x:row>
    <x:row r="7" ht="15" hidden="0" customHeight="1">
      <x:c r="A7" s="28" t="str">
        <x:v>Core criteria</x:v>
      </x:c>
      <x:c r="B7" s="28" t="str">
        <x:v>EoY exam</x:v>
      </x:c>
      <x:c r="C7" s="28" t="str">
        <x:v>Two examination lessons in S7A.</x:v>
      </x:c>
      <x:c r="D7" s="28" t="str">
        <x:v>Year 7-9 summer exam week.</x:v>
      </x:c>
    </x:row>
    <x:row r="8" ht="26.399999618530273" hidden="0" customHeight="1">
      <x:c r="A8" s="28" t="str">
        <x:v>Core criteria</x:v>
      </x:c>
      <x:c r="B8" s="28" t="str">
        <x:v>Post-EoY teaching</x:v>
      </x:c>
      <x:c r="C8" s="28" t="str">
        <x:v>Unit 10 Statistics is after the EoY exam.</x:v>
      </x:c>
      <x:c r="D8" s="28" t="str">
        <x:v>This allows the main exam to cover Units 1-9 cleanly.</x:v>
      </x:c>
    </x:row>
    <x:row r="9" ht="26.399999618530273" hidden="0" customHeight="1">
      <x:c r="A9" s="28" t="str">
        <x:v>Core criteria</x:v>
      </x:c>
      <x:c r="B9" s="28" t="str">
        <x:v>Final Summer week</x:v>
      </x:c>
      <x:c r="C9" s="28" t="str">
        <x:v>S11A is off timetable.</x:v>
      </x:c>
      <x:c r="D9" s="28" t="str">
        <x:v>No required teaching or assessment.</x:v>
      </x:c>
    </x:row>
    <x:row r="10" ht="15" hidden="0" customHeight="1">
      <x:c r="A10" s="28" t="str">
        <x:v>Assessment plan</x:v>
      </x:c>
      <x:c r="B10" s="28" t="str">
        <x:v>Unit 1 assessment</x:v>
      </x:c>
      <x:c r="C10" s="28" t="str">
        <x:v>Number complete block</x:v>
      </x:c>
      <x:c r="D10" s="28" t="str">
        <x:v>Michaelmas</x:v>
      </x:c>
    </x:row>
    <x:row r="11" ht="15" hidden="0" customHeight="1">
      <x:c r="A11" s="28" t="str">
        <x:v>Assessment plan</x:v>
      </x:c>
      <x:c r="B11" s="28" t="str">
        <x:v>Unit 2 assessment</x:v>
      </x:c>
      <x:c r="C11" s="28" t="str">
        <x:v>Ratio, proportion and measures</x:v>
      </x:c>
      <x:c r="D11" s="28" t="str">
        <x:v>Michaelmas</x:v>
      </x:c>
    </x:row>
    <x:row r="12" ht="15" hidden="0" customHeight="1">
      <x:c r="A12" s="28" t="str">
        <x:v>Assessment plan</x:v>
      </x:c>
      <x:c r="B12" s="28" t="str">
        <x:v>Unit 3 assessment</x:v>
      </x:c>
      <x:c r="C12" s="28" t="str">
        <x:v>Linear algebra and straight-line graphs</x:v>
      </x:c>
      <x:c r="D12" s="28" t="str">
        <x:v>Michaelmas</x:v>
      </x:c>
    </x:row>
    <x:row r="13" ht="15" hidden="0" customHeight="1">
      <x:c r="A13" s="28" t="str">
        <x:v>Assessment plan</x:v>
      </x:c>
      <x:c r="B13" s="28" t="str">
        <x:v>Unit 4 assessment</x:v>
      </x:c>
      <x:c r="C13" s="28" t="str">
        <x:v>Sequences complete</x:v>
      </x:c>
      <x:c r="D13" s="28" t="str">
        <x:v>Lent start</x:v>
      </x:c>
    </x:row>
    <x:row r="14" ht="15" hidden="0" customHeight="1">
      <x:c r="A14" s="28" t="str">
        <x:v>Assessment plan</x:v>
      </x:c>
      <x:c r="B14" s="28" t="str">
        <x:v>Unit 5 assessment</x:v>
      </x:c>
      <x:c r="C14" s="28" t="str">
        <x:v>Quadratics and formulae complete</x:v>
      </x:c>
      <x:c r="D14" s="28" t="str">
        <x:v>Lent</x:v>
      </x:c>
    </x:row>
    <x:row r="15" ht="15" hidden="0" customHeight="1">
      <x:c r="A15" s="28" t="str">
        <x:v>Assessment plan</x:v>
      </x:c>
      <x:c r="B15" s="28" t="str">
        <x:v>Unit 6 assessment</x:v>
      </x:c>
      <x:c r="C15" s="28" t="str">
        <x:v>Algebraic fractions complete</x:v>
      </x:c>
      <x:c r="D15" s="28" t="str">
        <x:v>Lent</x:v>
      </x:c>
    </x:row>
    <x:row r="16" ht="15" hidden="0" customHeight="1">
      <x:c r="A16" s="28" t="str">
        <x:v>Assessment plan</x:v>
      </x:c>
      <x:c r="B16" s="28" t="str">
        <x:v>Unit 7 assessment</x:v>
      </x:c>
      <x:c r="C16" s="28" t="str">
        <x:v>2D geometry and constructions</x:v>
      </x:c>
      <x:c r="D16" s="28" t="str">
        <x:v>Lent</x:v>
      </x:c>
    </x:row>
    <x:row r="17" ht="15" hidden="0" customHeight="1">
      <x:c r="A17" s="28" t="str">
        <x:v>Assessment plan</x:v>
      </x:c>
      <x:c r="B17" s="28" t="str">
        <x:v>Unit 8 assessment</x:v>
      </x:c>
      <x:c r="C17" s="28" t="str">
        <x:v>Pythagoras and 2D trigonometry</x:v>
      </x:c>
      <x:c r="D17" s="28" t="str">
        <x:v>Summer before EoY</x:v>
      </x:c>
    </x:row>
    <x:row r="18" ht="15" hidden="0" customHeight="1">
      <x:c r="A18" s="28" t="str">
        <x:v>Assessment plan</x:v>
      </x:c>
      <x:c r="B18" s="28" t="str">
        <x:v>Unit 9 assessment</x:v>
      </x:c>
      <x:c r="C18" s="28" t="str">
        <x:v>3D geometry and similarity</x:v>
      </x:c>
      <x:c r="D18" s="28" t="str">
        <x:v>Summer before EoY</x:v>
      </x:c>
    </x:row>
    <x:row r="19" ht="15" hidden="0" customHeight="1">
      <x:c r="A19" s="28" t="str">
        <x:v>Assessment plan</x:v>
      </x:c>
      <x:c r="B19" s="28" t="str">
        <x:v>EoY exam</x:v>
      </x:c>
      <x:c r="C19" s="28" t="str">
        <x:v>Units 1-9</x:v>
      </x:c>
      <x:c r="D19" s="28" t="str">
        <x:v>S7A</x:v>
      </x:c>
    </x:row>
    <x:row r="20" ht="15" hidden="0" customHeight="1">
      <x:c r="A20" s="28" t="str">
        <x:v>Assessment plan</x:v>
      </x:c>
      <x:c r="B20" s="28" t="str">
        <x:v>Unit 10 assessment</x:v>
      </x:c>
      <x:c r="C20" s="28" t="str">
        <x:v>Statistics complete</x:v>
      </x:c>
      <x:c r="D20" s="28" t="str">
        <x:v>After EoY, S9A</x:v>
      </x:c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  <x:col min="8" max="8" width="16" hidden="0" customWidth="1"/>
    <x:col min="9" max="9" width="42" hidden="0" customWidth="1"/>
  </x:cols>
  <x:sheetData>
    <x:row r="1" ht="15" hidden="0" customHeight="1">
      <x:c r="A1" s="34" t="str">
        <x:v>Order</x:v>
      </x:c>
      <x:c r="B1" s="34" t="str">
        <x:v>Unit</x:v>
      </x:c>
      <x:c r="C1" s="34" t="str">
        <x:v>Start lesson</x:v>
      </x:c>
      <x:c r="D1" s="34" t="str">
        <x:v>Start week</x:v>
      </x:c>
      <x:c r="E1" s="34" t="str">
        <x:v>Start dates</x:v>
      </x:c>
      <x:c r="F1" s="34" t="str">
        <x:v>End lesson</x:v>
      </x:c>
      <x:c r="G1" s="34" t="str">
        <x:v>End week</x:v>
      </x:c>
      <x:c r="H1" s="34" t="str">
        <x:v>Assessment week</x:v>
      </x:c>
      <x:c r="I1" s="34" t="str">
        <x:v>Notes</x:v>
      </x:c>
    </x:row>
    <x:row r="2" ht="15" hidden="0" customHeight="1">
      <x:c r="A2" s="28" t="n">
        <x:v>1</x:v>
      </x:c>
      <x:c r="B2" s="28" t="str">
        <x:v>Unit 1 — Number (complete block)</x:v>
      </x:c>
      <x:c r="C2" s="28" t="n">
        <x:v>3</x:v>
      </x:c>
      <x:c r="D2" s="28" t="str">
        <x:v>M2B</x:v>
      </x:c>
      <x:c r="E2" s="28" t="str">
        <x:v>31 Aug-4 Sep 2026</x:v>
      </x:c>
      <x:c r="F2" s="28" t="n">
        <x:v>18</x:v>
      </x:c>
      <x:c r="G2" s="28" t="str">
        <x:v>M6B</x:v>
      </x:c>
      <x:c r="H2" s="28" t="str">
        <x:v>M6B</x:v>
      </x:c>
      <x:c r="I2" s="28" t="str"/>
    </x:row>
    <x:row r="3" ht="15" hidden="0" customHeight="1">
      <x:c r="A3" s="28" t="n">
        <x:v>2</x:v>
      </x:c>
      <x:c r="B3" s="28" t="str">
        <x:v>Unit 2 — Ratio, proportion &amp; measures</x:v>
      </x:c>
      <x:c r="C3" s="28" t="n">
        <x:v>19</x:v>
      </x:c>
      <x:c r="D3" s="28" t="str">
        <x:v>M6B</x:v>
      </x:c>
      <x:c r="E3" s="28" t="str">
        <x:v>28 Sep-2 Oct 2026</x:v>
      </x:c>
      <x:c r="F3" s="28" t="n">
        <x:v>29</x:v>
      </x:c>
      <x:c r="G3" s="28" t="str">
        <x:v>M9A</x:v>
      </x:c>
      <x:c r="H3" s="28" t="str">
        <x:v>M9A</x:v>
      </x:c>
      <x:c r="I3" s="28" t="str"/>
    </x:row>
    <x:row r="4" ht="15" hidden="0" customHeight="1">
      <x:c r="A4" s="28" t="n">
        <x:v>3</x:v>
      </x:c>
      <x:c r="B4" s="28" t="str">
        <x:v>Unit 3 — Linear algebra + straight-line graphs</x:v>
      </x:c>
      <x:c r="C4" s="28" t="n">
        <x:v>30</x:v>
      </x:c>
      <x:c r="D4" s="28" t="str">
        <x:v>M10B</x:v>
      </x:c>
      <x:c r="E4" s="28" t="str">
        <x:v>2-6 Nov 2026</x:v>
      </x:c>
      <x:c r="F4" s="28" t="n">
        <x:v>40</x:v>
      </x:c>
      <x:c r="G4" s="28" t="str">
        <x:v>M13A</x:v>
      </x:c>
      <x:c r="H4" s="28" t="str">
        <x:v>M13A</x:v>
      </x:c>
      <x:c r="I4" s="28" t="str"/>
    </x:row>
    <x:row r="5" ht="15" hidden="0" customHeight="1">
      <x:c r="A5" s="28" t="n">
        <x:v>4</x:v>
      </x:c>
      <x:c r="B5" s="28" t="str">
        <x:v>Unit 4 — Sequences (complete)</x:v>
      </x:c>
      <x:c r="C5" s="28" t="n">
        <x:v>41</x:v>
      </x:c>
      <x:c r="D5" s="28" t="str">
        <x:v>M13A</x:v>
      </x:c>
      <x:c r="E5" s="28" t="str">
        <x:v>23-27 Nov 2026</x:v>
      </x:c>
      <x:c r="F5" s="28" t="n">
        <x:v>50</x:v>
      </x:c>
      <x:c r="G5" s="28" t="str">
        <x:v>M16B</x:v>
      </x:c>
      <x:c r="H5" s="28" t="str">
        <x:v>M16B</x:v>
      </x:c>
      <x:c r="I5" s="28" t="str"/>
    </x:row>
    <x:row r="6" ht="26.399999618530273" hidden="0" customHeight="1">
      <x:c r="A6" s="28" t="n">
        <x:v>5</x:v>
      </x:c>
      <x:c r="B6" s="28" t="str">
        <x:v>Unit 5 — Quadratics &amp; formulae (complete)</x:v>
      </x:c>
      <x:c r="C6" s="28" t="n">
        <x:v>51</x:v>
      </x:c>
      <x:c r="D6" s="28" t="str">
        <x:v>L1A</x:v>
      </x:c>
      <x:c r="E6" s="28" t="str">
        <x:v>7-8 Jan 2027</x:v>
      </x:c>
      <x:c r="F6" s="28" t="n">
        <x:v>69</x:v>
      </x:c>
      <x:c r="G6" s="28" t="str">
        <x:v>L6B</x:v>
      </x:c>
      <x:c r="H6" s="28" t="str">
        <x:v>L6B</x:v>
      </x:c>
      <x:c r="I6" s="28" t="str">
        <x:v>Includes top-set extension and one correction/reflection lesson.</x:v>
      </x:c>
    </x:row>
    <x:row r="7" ht="15" hidden="0" customHeight="1">
      <x:c r="A7" s="28" t="n">
        <x:v>6</x:v>
      </x:c>
      <x:c r="B7" s="28" t="str">
        <x:v>Unit 6 — Algebraic fractions (complete)</x:v>
      </x:c>
      <x:c r="C7" s="28" t="n">
        <x:v>70</x:v>
      </x:c>
      <x:c r="D7" s="28" t="str">
        <x:v>L8B</x:v>
      </x:c>
      <x:c r="E7" s="28" t="str">
        <x:v>1-5 Mar 2027</x:v>
      </x:c>
      <x:c r="F7" s="28" t="n">
        <x:v>77</x:v>
      </x:c>
      <x:c r="G7" s="28" t="str">
        <x:v>L10B</x:v>
      </x:c>
      <x:c r="H7" s="28" t="str">
        <x:v>L10B</x:v>
      </x:c>
      <x:c r="I7" s="28" t="str"/>
    </x:row>
    <x:row r="8" ht="15" hidden="0" customHeight="1">
      <x:c r="A8" s="28" t="n">
        <x:v>7</x:v>
      </x:c>
      <x:c r="B8" s="28" t="str">
        <x:v>Unit 7 — 2D geometry &amp; constructions</x:v>
      </x:c>
      <x:c r="C8" s="28" t="n">
        <x:v>78</x:v>
      </x:c>
      <x:c r="D8" s="28" t="str">
        <x:v>L10B</x:v>
      </x:c>
      <x:c r="E8" s="28" t="str">
        <x:v>15-19 Mar 2027</x:v>
      </x:c>
      <x:c r="F8" s="28" t="n">
        <x:v>88</x:v>
      </x:c>
      <x:c r="G8" s="28" t="str">
        <x:v>S1A</x:v>
      </x:c>
      <x:c r="H8" s="28" t="str">
        <x:v>S1A</x:v>
      </x:c>
      <x:c r="I8" s="28" t="str"/>
    </x:row>
    <x:row r="9" ht="15" hidden="0" customHeight="1">
      <x:c r="A9" s="28" t="n">
        <x:v>8</x:v>
      </x:c>
      <x:c r="B9" s="28" t="str">
        <x:v>Unit 8 — Pythagoras &amp; trigonometry (2D)</x:v>
      </x:c>
      <x:c r="C9" s="28" t="n">
        <x:v>89</x:v>
      </x:c>
      <x:c r="D9" s="28" t="str">
        <x:v>S1A</x:v>
      </x:c>
      <x:c r="E9" s="28" t="str">
        <x:v>19-23 Apr 2027</x:v>
      </x:c>
      <x:c r="F9" s="28" t="n">
        <x:v>96</x:v>
      </x:c>
      <x:c r="G9" s="28" t="str">
        <x:v>S4B</x:v>
      </x:c>
      <x:c r="H9" s="28" t="str">
        <x:v>S4B</x:v>
      </x:c>
      <x:c r="I9" s="28" t="str"/>
    </x:row>
    <x:row r="10" ht="15" hidden="0" customHeight="1">
      <x:c r="A10" s="28" t="n">
        <x:v>9</x:v>
      </x:c>
      <x:c r="B10" s="28" t="str">
        <x:v>Unit 9 — 3D geometry &amp; similarity (complete)</x:v>
      </x:c>
      <x:c r="C10" s="28" t="n">
        <x:v>97</x:v>
      </x:c>
      <x:c r="D10" s="28" t="str">
        <x:v>S4B</x:v>
      </x:c>
      <x:c r="E10" s="28" t="str">
        <x:v>10-14 May 2027</x:v>
      </x:c>
      <x:c r="F10" s="28" t="n">
        <x:v>102</x:v>
      </x:c>
      <x:c r="G10" s="28" t="str">
        <x:v>S5A</x:v>
      </x:c>
      <x:c r="H10" s="28" t="str">
        <x:v>S5A</x:v>
      </x:c>
      <x:c r="I10" s="28" t="str"/>
    </x:row>
    <x:row r="11" ht="15" hidden="0" customHeight="1">
      <x:c r="A11" s="28" t="n">
        <x:v>10</x:v>
      </x:c>
      <x:c r="B11" s="28" t="str">
        <x:v>Unit 10 — Statistics (complete)</x:v>
      </x:c>
      <x:c r="C11" s="28" t="n">
        <x:v>108</x:v>
      </x:c>
      <x:c r="D11" s="28" t="str">
        <x:v>S8B</x:v>
      </x:c>
      <x:c r="E11" s="28" t="str">
        <x:v>7-11 Jun 2027</x:v>
      </x:c>
      <x:c r="F11" s="28" t="n">
        <x:v>114</x:v>
      </x:c>
      <x:c r="G11" s="28" t="str">
        <x:v>S9A</x:v>
      </x:c>
      <x:c r="H11" s="28" t="str">
        <x:v>S9A</x:v>
      </x:c>
      <x:c r="I11" s="28" t="str">
        <x:v>Taught after EoY.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80" hidden="0" customWidth="1"/>
    <x:col min="4" max="4" width="54" hidden="0" customWidth="1"/>
    <x:col min="5" max="5" width="24" hidden="0" customWidth="1"/>
  </x:cols>
  <x:sheetData>
    <x:row r="1" ht="15" hidden="0" customHeight="1">
      <x:c r="A1" s="34" t="str">
        <x:v>Unit</x:v>
      </x:c>
      <x:c r="B1" s="34" t="str">
        <x:v>Strand</x:v>
      </x:c>
      <x:c r="C1" s="34" t="str">
        <x:v>Key topics</x:v>
      </x:c>
      <x:c r="D1" s="34" t="str">
        <x:v>Pearson textbook chapters</x:v>
      </x:c>
      <x:c r="E1" s="34" t="str">
        <x:v>Assessment</x:v>
      </x:c>
    </x:row>
    <x:row r="2" ht="66" hidden="0" customHeight="1">
      <x:c r="A2" s="28" t="str">
        <x:v>Unit 1 — Number (complete block)</x:v>
      </x:c>
      <x:c r="B2" s="28" t="str">
        <x:v>Number</x:v>
      </x:c>
      <x:c r="C2" s="28" t="str">
        <x:v>Fractions — all operations; BIDMAS &amp; order of operations; Rounding, significant figures and estimation; Standard form; Percentages — basic, increase/decrease and multipliers; Compound interest, depreciation and reverse percentages; Prime factors, HCF, LCM and ratio; Recurring decimals and advanced calculator use; Bounds and error intervals; Applied number — costs, tax, salaries and currency; Number consolidation and mixed practice</x:v>
      </x:c>
      <x:c r="D2" s="28" t="str">
        <x:v>Book 1 · Number 1; Book 1 · Number 1 / Number 5; Book 1 · Number 2; Book 1 · Number 3; Book 1 · Number 4; Book 1 · Number 5; Book 1/2 Number chapters; Book 2 · Number 7; Book 2 · Number 9</x:v>
      </x:c>
      <x:c r="E2" s="28" t="str">
        <x:v>End-of-unit assessment</x:v>
      </x:c>
    </x:row>
    <x:row r="3" ht="39.599998474121094" hidden="0" customHeight="1">
      <x:c r="A3" s="28" t="str">
        <x:v>Unit 2 — Ratio, proportion &amp; measures</x:v>
      </x:c>
      <x:c r="B3" s="28" t="str">
        <x:v>Ratio / Measures</x:v>
      </x:c>
      <x:c r="C3" s="28" t="str">
        <x:v>Compound measures and unit conversions; Distance-time and speed-time graphs; Fractional and negative indices; Direct proportion — numerical, algebraic and graphical; Inverse proportion — numerical, algebraic and graphical; Ratio, proportion and measures consolidation</x:v>
      </x:c>
      <x:c r="D3" s="28" t="str">
        <x:v>Book 1 · Graphs 3; Book 2 · Number 6; Book 2 · Number 6 / Algebra 6; Book 2 · Number 8; Y10 unit consolidation</x:v>
      </x:c>
      <x:c r="E3" s="28" t="str">
        <x:v>End-of-unit assessment</x:v>
      </x:c>
    </x:row>
    <x:row r="4" ht="39.599998474121094" hidden="0" customHeight="1">
      <x:c r="A4" s="28" t="str">
        <x:v>Unit 3 — Linear algebra + straight-line graphs</x:v>
      </x:c>
      <x:c r="B4" s="28" t="str">
        <x:v>Algebra / Graphs</x:v>
      </x:c>
      <x:c r="C4" s="28" t="str">
        <x:v>Expressions, formulae and index laws; Linear equations to straight-line graphs; Midpoints and perpendicular lines; Simultaneous equations — algebraic and graphical; Linear inequalities and graphical regions; Linear algebra and graphs consolidation</x:v>
      </x:c>
      <x:c r="D4" s="28" t="str">
        <x:v>Book 1 · Algebra 1 / Graphs 1-2; Book 1 · Algebra 1/2; Book 1 · Algebra 2 / Graphs 5; Book 1 · Algebra 3 / Graphs 2; Book 1 · Graphs 5; Y10 unit consolidation</x:v>
      </x:c>
      <x:c r="E4" s="28" t="str">
        <x:v>End-of-unit assessment</x:v>
      </x:c>
    </x:row>
    <x:row r="5" ht="26.399999618530273" hidden="0" customHeight="1">
      <x:c r="A5" s="28" t="str">
        <x:v>Unit 4 — Sequences (complete)</x:v>
      </x:c>
      <x:c r="B5" s="28" t="str">
        <x:v>Sequences</x:v>
      </x:c>
      <x:c r="C5" s="28" t="str">
        <x:v>Sequences — term-to-term, formulae and difference method; Arithmetic sequences — nth term; Quadratic sequences; Sum of an arithmetic series; Sequences consolidation</x:v>
      </x:c>
      <x:c r="D5" s="28" t="str">
        <x:v>Book 2 · Sequences</x:v>
      </x:c>
      <x:c r="E5" s="28" t="str">
        <x:v>End-of-unit assessment</x:v>
      </x:c>
    </x:row>
    <x:row r="6" ht="52.79999923706055" hidden="0" customHeight="1">
      <x:c r="A6" s="28" t="str">
        <x:v>Unit 5 — Quadratics &amp; formulae (complete)</x:v>
      </x:c>
      <x:c r="B6" s="28" t="str">
        <x:v>Algebra / Quadratics</x:v>
      </x:c>
      <x:c r="C6" s="28" t="str">
        <x:v>Expanding double brackets and factorising a=1; Factorising a&gt;1, difference of two squares and grouping; Solving quadratics by factorisation to graphical roots; Quadratic graph features and real-life problems; Rearranging formulae — subject appears once; Rearranging formulae — subject twice or under powers; Quadratics and formulae consolidation</x:v>
      </x:c>
      <x:c r="D6" s="28" t="str">
        <x:v>Book 1 · Algebra 4; Book 1 · Algebra 5; Book 1 · Algebra 5 / Algebra 3; Book 1 · Algebra 5 / Graphs 4; Book 1 · Graphs 4 / Algebra 5; Y10 unit consolidation</x:v>
      </x:c>
      <x:c r="E6" s="28" t="str">
        <x:v>End-of-unit assessment</x:v>
      </x:c>
    </x:row>
    <x:row r="7" ht="26.399999618530273" hidden="0" customHeight="1">
      <x:c r="A7" s="28" t="str">
        <x:v>Unit 6 — Algebraic fractions (complete)</x:v>
      </x:c>
      <x:c r="B7" s="28" t="str">
        <x:v>Algebra</x:v>
      </x:c>
      <x:c r="C7" s="28" t="str">
        <x:v>Simplifying algebraic fractions; Adding and subtracting algebraic fractions; Multiplying, dividing and solving algebraic fractions; Algebraic fractions consolidation</x:v>
      </x:c>
      <x:c r="D7" s="28" t="str">
        <x:v>Book 1 · Algebra 2/3; Book 2 · Algebra 10; Book 2 · Algebra 10</x:v>
      </x:c>
      <x:c r="E7" s="28" t="str">
        <x:v>End-of-unit assessment</x:v>
      </x:c>
    </x:row>
    <x:row r="8" ht="26.399999618530273" hidden="0" customHeight="1">
      <x:c r="A8" s="28" t="str">
        <x:v>Unit 7 — 2D geometry &amp; constructions</x:v>
      </x:c>
      <x:c r="B8" s="28" t="str">
        <x:v>Geometry</x:v>
      </x:c>
      <x:c r="C8" s="28" t="str">
        <x:v>Angle properties — parallel lines and polygons; Constructions, loci and similar triangles; Area, perimeter, circles, arcs and sectors; 2D geometry consolidation</x:v>
      </x:c>
      <x:c r="D8" s="28" t="str">
        <x:v>Book 1 · Shape and Space 1; Book 2 · Shape and Space 7; Y10 unit consolidation</x:v>
      </x:c>
      <x:c r="E8" s="28" t="str">
        <x:v>End-of-unit assessment</x:v>
      </x:c>
    </x:row>
    <x:row r="9" ht="26.399999618530273" hidden="0" customHeight="1">
      <x:c r="A9" s="28" t="str">
        <x:v>Unit 8 — Pythagoras &amp; trigonometry (2D)</x:v>
      </x:c>
      <x:c r="B9" s="28" t="str">
        <x:v>Geometry / Trigonometry</x:v>
      </x:c>
      <x:c r="C9" s="28" t="str">
        <x:v>Pythagoras' theorem; SOHCAHTOA — sides and angles; Trigonometry in context — bearings, elevation and depression; Pythagoras and trigonometry consolidation</x:v>
      </x:c>
      <x:c r="D9" s="28" t="str">
        <x:v>Book 1 · Shape and Space 2; Book 1 · Shape and Space 3/4; Book 1 · Shape and Space 4; Y10 unit consolidation</x:v>
      </x:c>
      <x:c r="E9" s="28" t="str">
        <x:v>End-of-unit assessment</x:v>
      </x:c>
    </x:row>
    <x:row r="10" ht="26.399999618530273" hidden="0" customHeight="1">
      <x:c r="A10" s="28" t="str">
        <x:v>Unit 9 — 3D geometry &amp; similarity (complete)</x:v>
      </x:c>
      <x:c r="B10" s="28" t="str">
        <x:v>Geometry / Measures</x:v>
      </x:c>
      <x:c r="C10" s="28" t="str">
        <x:v>Volume and surface area of 3D solids; Sphere, cone and similarity scale factor; Similarity — area ratio k² and volume ratio k³; 3D geometry and similarity consolidation</x:v>
      </x:c>
      <x:c r="D10" s="28" t="str">
        <x:v>Book 2 · Shape and Space 7</x:v>
      </x:c>
      <x:c r="E10" s="28" t="str">
        <x:v>End-of-unit assessment</x:v>
      </x:c>
    </x:row>
    <x:row r="11" ht="39.599998474121094" hidden="0" customHeight="1">
      <x:c r="A11" s="28" t="str">
        <x:v>Unit 10 — Statistics (complete)</x:v>
      </x:c>
      <x:c r="B11" s="28" t="str">
        <x:v>Statistics</x:v>
      </x:c>
      <x:c r="C11" s="28" t="str">
        <x:v>Data representation; Statistical measures; Scatter graphs and correlation; Histograms; Cumulative frequency and box plots; Statistics consolidation</x:v>
      </x:c>
      <x:c r="D11" s="28" t="str">
        <x:v>Book 1 · Handling Data 1; Book 1 · Handling Data 1/2; Book 1 · Handling Data 1/3; Book 1 · Handling Data 3; Book 2 · Handling Data 6; Y10 unit consolidation</x:v>
      </x:c>
      <x:c r="E11" s="28" t="str">
        <x:v>End-of-unit assessment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